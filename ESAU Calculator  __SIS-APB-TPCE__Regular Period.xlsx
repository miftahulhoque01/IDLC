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yed\Desktop\"/>
    </mc:Choice>
  </mc:AlternateContent>
  <bookViews>
    <workbookView xWindow="0" yWindow="0" windowWidth="23820" windowHeight="7590"/>
  </bookViews>
  <sheets>
    <sheet name="ESAU Calculator" sheetId="2" r:id="rId1"/>
    <sheet name="CCT" sheetId="1" state="hidden" r:id="rId2"/>
  </sheets>
  <definedNames>
    <definedName name="_Fill" hidden="1">#REF!</definedName>
    <definedName name="_xlnm._FilterDatabase" localSheetId="0" hidden="1">'ESAU Calculator'!$B$5:$Q$6</definedName>
    <definedName name="_xlnm.Print_Area" localSheetId="0">'ESAU Calculator'!$A$1:$L$18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1" i="1" l="1"/>
  <c r="AE41" i="1" s="1"/>
  <c r="AD26" i="1"/>
  <c r="AE26" i="1" s="1"/>
  <c r="AD42" i="1" l="1"/>
  <c r="AD27" i="1"/>
  <c r="AE2" i="1"/>
  <c r="AD3" i="1"/>
  <c r="AD4" i="1" s="1"/>
  <c r="G6" i="2"/>
  <c r="AE42" i="1" l="1"/>
  <c r="AD43" i="1"/>
  <c r="AE27" i="1"/>
  <c r="AD28" i="1"/>
  <c r="AE3" i="1"/>
  <c r="AE4" i="1"/>
  <c r="AD5" i="1"/>
  <c r="AD44" i="1" l="1"/>
  <c r="AE43" i="1"/>
  <c r="AE28" i="1"/>
  <c r="AD29" i="1"/>
  <c r="AE5" i="1"/>
  <c r="AD6" i="1"/>
  <c r="AD45" i="1" l="1"/>
  <c r="AE44" i="1"/>
  <c r="AD30" i="1"/>
  <c r="AE29" i="1"/>
  <c r="AE6" i="1"/>
  <c r="AD7" i="1"/>
  <c r="AE45" i="1" l="1"/>
  <c r="AD46" i="1"/>
  <c r="AE30" i="1"/>
  <c r="AD31" i="1"/>
  <c r="AD8" i="1"/>
  <c r="AE7" i="1"/>
  <c r="AE46" i="1" l="1"/>
  <c r="AD47" i="1"/>
  <c r="AE31" i="1"/>
  <c r="AD32" i="1"/>
  <c r="AE8" i="1"/>
  <c r="AD9" i="1"/>
  <c r="AD48" i="1" l="1"/>
  <c r="AE47" i="1"/>
  <c r="AD33" i="1"/>
  <c r="AE32" i="1"/>
  <c r="AD10" i="1"/>
  <c r="AE9" i="1"/>
  <c r="AE48" i="1" l="1"/>
  <c r="AD49" i="1"/>
  <c r="AD34" i="1"/>
  <c r="AE33" i="1"/>
  <c r="AE10" i="1"/>
  <c r="AD11" i="1"/>
  <c r="AE49" i="1" l="1"/>
  <c r="AE34" i="1"/>
  <c r="AD35" i="1"/>
  <c r="AE11" i="1"/>
  <c r="AD12" i="1"/>
  <c r="AE35" i="1" l="1"/>
  <c r="AD36" i="1"/>
  <c r="AD13" i="1"/>
  <c r="AE12" i="1"/>
  <c r="AE36" i="1" l="1"/>
  <c r="AD37" i="1"/>
  <c r="AE13" i="1"/>
  <c r="AD14" i="1"/>
  <c r="AD38" i="1" l="1"/>
  <c r="AE37" i="1"/>
  <c r="AE14" i="1"/>
  <c r="AD15" i="1"/>
  <c r="AE38" i="1" l="1"/>
  <c r="AD39" i="1"/>
  <c r="AD16" i="1"/>
  <c r="AE15" i="1"/>
  <c r="AE39" i="1" l="1"/>
  <c r="AD40" i="1"/>
  <c r="AE40" i="1" s="1"/>
  <c r="AE16" i="1"/>
  <c r="AD17" i="1"/>
  <c r="AD18" i="1" l="1"/>
  <c r="AE17" i="1"/>
  <c r="AE18" i="1" l="1"/>
  <c r="AD19" i="1"/>
  <c r="AD20" i="1" l="1"/>
  <c r="AE19" i="1"/>
  <c r="AD21" i="1" l="1"/>
  <c r="AE20" i="1"/>
  <c r="AE21" i="1" l="1"/>
  <c r="AD22" i="1"/>
  <c r="AE22" i="1" l="1"/>
  <c r="AD23" i="1"/>
  <c r="AE23" i="1" l="1"/>
  <c r="AD24" i="1"/>
  <c r="AE24" i="1" l="1"/>
  <c r="AD25" i="1"/>
  <c r="AE25" i="1" s="1"/>
  <c r="K14" i="2" l="1"/>
  <c r="K15" i="2" l="1"/>
  <c r="Y31" i="1" l="1"/>
  <c r="W31" i="1"/>
  <c r="W25" i="1"/>
  <c r="Y21" i="1"/>
  <c r="W21" i="1"/>
  <c r="U21" i="1"/>
  <c r="Y20" i="1"/>
  <c r="W20" i="1"/>
  <c r="U20" i="1"/>
  <c r="U19" i="1"/>
  <c r="Y18" i="1"/>
  <c r="X18" i="1"/>
  <c r="Y19" i="1" s="1"/>
  <c r="W18" i="1"/>
  <c r="V18" i="1"/>
  <c r="W19" i="1" s="1"/>
  <c r="W14" i="1"/>
  <c r="V14" i="1"/>
  <c r="W8" i="1"/>
  <c r="W7" i="1"/>
  <c r="W6" i="1"/>
  <c r="M20" i="1" l="1"/>
  <c r="M19" i="1"/>
  <c r="P21" i="1" l="1"/>
  <c r="N21" i="1"/>
  <c r="L21" i="1"/>
  <c r="P20" i="1"/>
  <c r="N20" i="1"/>
  <c r="L20" i="1"/>
  <c r="L19" i="1"/>
  <c r="P18" i="1"/>
  <c r="O18" i="1"/>
  <c r="P19" i="1" s="1"/>
  <c r="N18" i="1"/>
  <c r="M18" i="1"/>
  <c r="N19" i="1" s="1"/>
  <c r="M14" i="1"/>
  <c r="P31" i="1" l="1"/>
  <c r="N31" i="1"/>
  <c r="N14" i="1"/>
  <c r="N8" i="1"/>
  <c r="N7" i="1"/>
  <c r="N6" i="1"/>
  <c r="G31" i="1" l="1"/>
  <c r="E31" i="1"/>
  <c r="E25" i="1"/>
  <c r="G21" i="1" l="1"/>
  <c r="E21" i="1"/>
  <c r="C21" i="1"/>
  <c r="G20" i="1"/>
  <c r="E20" i="1"/>
  <c r="C20" i="1"/>
  <c r="C19" i="1"/>
  <c r="G18" i="1"/>
  <c r="F18" i="1"/>
  <c r="G19" i="1" s="1"/>
  <c r="E18" i="1"/>
  <c r="D18" i="1"/>
  <c r="E19" i="1" s="1"/>
  <c r="E14" i="1"/>
  <c r="D14" i="1"/>
  <c r="E8" i="1"/>
  <c r="E7" i="1"/>
  <c r="E6" i="1"/>
  <c r="K16" i="2" s="1"/>
  <c r="H6" i="2" l="1"/>
  <c r="D14" i="2" l="1"/>
  <c r="D13" i="2" l="1"/>
  <c r="C12" i="2"/>
  <c r="D10" i="2" l="1"/>
  <c r="E10" i="2" s="1"/>
  <c r="F11" i="2" l="1"/>
  <c r="F15" i="2" l="1"/>
  <c r="F10" i="2"/>
</calcChain>
</file>

<file path=xl/sharedStrings.xml><?xml version="1.0" encoding="utf-8"?>
<sst xmlns="http://schemas.openxmlformats.org/spreadsheetml/2006/main" count="329" uniqueCount="116">
  <si>
    <t>Start</t>
  </si>
  <si>
    <t>End</t>
  </si>
  <si>
    <t>Branch</t>
  </si>
  <si>
    <t>SEF</t>
  </si>
  <si>
    <t>GRADE</t>
  </si>
  <si>
    <t>Point Range</t>
  </si>
  <si>
    <t>Agrabad</t>
  </si>
  <si>
    <t>&gt;</t>
  </si>
  <si>
    <t>&lt;=</t>
  </si>
  <si>
    <t>Barisal</t>
  </si>
  <si>
    <t>Excellent</t>
  </si>
  <si>
    <t>E</t>
  </si>
  <si>
    <t>Bhulta</t>
  </si>
  <si>
    <t>Standard</t>
  </si>
  <si>
    <t>S</t>
  </si>
  <si>
    <t>Bogra</t>
  </si>
  <si>
    <t>Average</t>
  </si>
  <si>
    <t>A</t>
  </si>
  <si>
    <t>Chowmuhani</t>
  </si>
  <si>
    <t>Unsatisfactory</t>
  </si>
  <si>
    <t>U</t>
  </si>
  <si>
    <t>Comilla</t>
  </si>
  <si>
    <t>Dilkusha</t>
  </si>
  <si>
    <t>Service Length wise
Point Distribution</t>
  </si>
  <si>
    <t>Age
 &gt; 1 year</t>
  </si>
  <si>
    <t>Age
 &lt;= 1 year</t>
  </si>
  <si>
    <t>Elephant Road</t>
  </si>
  <si>
    <t>Net Disbursement</t>
  </si>
  <si>
    <t>Faridpur</t>
  </si>
  <si>
    <t>No of File</t>
  </si>
  <si>
    <t>Gazipur</t>
  </si>
  <si>
    <t>X DPD PAR</t>
  </si>
  <si>
    <t>Gulshan</t>
  </si>
  <si>
    <t>Total</t>
  </si>
  <si>
    <t>Hobiganj</t>
  </si>
  <si>
    <t>Imamganj</t>
  </si>
  <si>
    <t>Disbursement Achievement</t>
  </si>
  <si>
    <t>Point
[ &gt; 1 Year ]</t>
  </si>
  <si>
    <t>Point
[ &lt;= 1 Year ]</t>
  </si>
  <si>
    <t>Jessore</t>
  </si>
  <si>
    <t>&gt;=</t>
  </si>
  <si>
    <t>&lt;</t>
  </si>
  <si>
    <t>Keranigonj</t>
  </si>
  <si>
    <t>Khulna</t>
  </si>
  <si>
    <t>Kushtia</t>
  </si>
  <si>
    <t>Mirpur</t>
  </si>
  <si>
    <t>Mymensingh</t>
  </si>
  <si>
    <t>Nandankanon</t>
  </si>
  <si>
    <t>Initiating PAR</t>
  </si>
  <si>
    <t>Age &gt; 1 year</t>
  </si>
  <si>
    <t>Age &lt;= 1 year</t>
  </si>
  <si>
    <t>Narayangonj</t>
  </si>
  <si>
    <t>Benchmark</t>
  </si>
  <si>
    <t>Point</t>
  </si>
  <si>
    <t>Narsingdi</t>
  </si>
  <si>
    <t>Initiating PAR &lt;=</t>
  </si>
  <si>
    <t>Natore</t>
  </si>
  <si>
    <t>Initiating PAR &gt;=</t>
  </si>
  <si>
    <t>Rajshahi</t>
  </si>
  <si>
    <t>Pro Rata Basis</t>
  </si>
  <si>
    <t>Rangpur</t>
  </si>
  <si>
    <t>Savar</t>
  </si>
  <si>
    <t>Number of File Disbursed (Excluding RSTL and Duplicate AC)</t>
  </si>
  <si>
    <t>Sylhet</t>
  </si>
  <si>
    <t>File</t>
  </si>
  <si>
    <t>Tongi</t>
  </si>
  <si>
    <t>Avg. file per Month &gt;=</t>
  </si>
  <si>
    <t>Avg. file per Month &lt;</t>
  </si>
  <si>
    <t>Pro Rata</t>
  </si>
  <si>
    <t>Designation</t>
  </si>
  <si>
    <t>Monthly Target</t>
  </si>
  <si>
    <t>ATO</t>
  </si>
  <si>
    <t>TO</t>
  </si>
  <si>
    <t>STO</t>
  </si>
  <si>
    <t>JO</t>
  </si>
  <si>
    <t>AO</t>
  </si>
  <si>
    <t>Officer</t>
  </si>
  <si>
    <t>SO</t>
  </si>
  <si>
    <t>SEO</t>
  </si>
  <si>
    <t>Name</t>
  </si>
  <si>
    <t>Joining Date</t>
  </si>
  <si>
    <t>Performance Period</t>
  </si>
  <si>
    <t>Net Disbursement Ex. RSTL</t>
  </si>
  <si>
    <t>Grade</t>
  </si>
  <si>
    <t>*</t>
  </si>
  <si>
    <t>Total Points</t>
  </si>
  <si>
    <t>Month</t>
  </si>
  <si>
    <t>SME</t>
  </si>
  <si>
    <t>HR AGE
(Month)</t>
  </si>
  <si>
    <t>Officer Grade – I</t>
  </si>
  <si>
    <t>Officer Grade – II</t>
  </si>
  <si>
    <t>Officer Grade – III </t>
  </si>
  <si>
    <t>&gt; 1.00% to 
&lt; 10.00%</t>
  </si>
  <si>
    <t>Dinajpur</t>
  </si>
  <si>
    <t>Criteria (TPCE)</t>
  </si>
  <si>
    <t>Initiating PAR &gt;</t>
  </si>
  <si>
    <t>Criteria (Sales-SIS)</t>
  </si>
  <si>
    <t>Criteria (Sales-APB)</t>
  </si>
  <si>
    <t>90 DPD PAR</t>
  </si>
  <si>
    <t>&gt; 3.00% to 
&lt; 15.00%</t>
  </si>
  <si>
    <t>Particulars</t>
  </si>
  <si>
    <t>Total Point</t>
  </si>
  <si>
    <t>Disbursement Target</t>
  </si>
  <si>
    <t>Achievement %</t>
  </si>
  <si>
    <t>Average Point</t>
  </si>
  <si>
    <t>Final Grade</t>
  </si>
  <si>
    <t>Portfolio</t>
  </si>
  <si>
    <t>Number of File Disbursed</t>
  </si>
  <si>
    <t>X DPD PAR / 90 DPD PAR (APB)</t>
  </si>
  <si>
    <t>Quarterly Result</t>
  </si>
  <si>
    <t>Mr. ABCD</t>
  </si>
  <si>
    <r>
      <rPr>
        <b/>
        <u/>
        <sz val="18"/>
        <color theme="9" tint="-0.249977111117893"/>
        <rFont val="IDLC"/>
      </rPr>
      <t>E</t>
    </r>
    <r>
      <rPr>
        <b/>
        <u/>
        <sz val="18"/>
        <color theme="4"/>
        <rFont val="IDLC"/>
      </rPr>
      <t>S</t>
    </r>
    <r>
      <rPr>
        <b/>
        <u/>
        <sz val="18"/>
        <color theme="5"/>
        <rFont val="IDLC"/>
      </rPr>
      <t>A</t>
    </r>
    <r>
      <rPr>
        <b/>
        <u/>
        <sz val="18"/>
        <color rgb="FFFF0000"/>
        <rFont val="IDLC"/>
      </rPr>
      <t>U</t>
    </r>
    <r>
      <rPr>
        <u/>
        <sz val="18"/>
        <color theme="1"/>
        <rFont val="IDLC"/>
      </rPr>
      <t xml:space="preserve"> Calculator (SIS/ APB/ TPCE)</t>
    </r>
  </si>
  <si>
    <t>Quarter…</t>
  </si>
  <si>
    <r>
      <t xml:space="preserve">Please provide/ select data in the </t>
    </r>
    <r>
      <rPr>
        <b/>
        <sz val="12"/>
        <color rgb="FFFF0000"/>
        <rFont val="IDLC"/>
      </rPr>
      <t>Yellow</t>
    </r>
    <r>
      <rPr>
        <sz val="12"/>
        <color theme="1"/>
        <rFont val="IDLC"/>
      </rPr>
      <t>-marked cells</t>
    </r>
  </si>
  <si>
    <t>RM Category</t>
  </si>
  <si>
    <t>TPCE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</si>
</sst>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9"/>
      <color theme="1"/>
      <name val="IDLC"/>
    </font>
    <font>
      <b/>
      <sz val="9"/>
      <color theme="1"/>
      <name val="IDLC"/>
    </font>
    <font>
      <b/>
      <sz val="12"/>
      <color rgb="FFFF0000"/>
      <name val="IDLC"/>
    </font>
    <font>
      <b/>
      <sz val="12"/>
      <name val="IDLC"/>
    </font>
    <font>
      <sz val="11"/>
      <name val="IDLC"/>
    </font>
    <font>
      <sz val="12"/>
      <name val="IDLC"/>
    </font>
    <font>
      <sz val="12"/>
      <color theme="1"/>
      <name val="IDLC"/>
    </font>
    <font>
      <b/>
      <sz val="12"/>
      <color theme="1"/>
      <name val="IDLC"/>
    </font>
    <font>
      <u/>
      <sz val="14"/>
      <color theme="1"/>
      <name val="IDLC"/>
    </font>
    <font>
      <u/>
      <sz val="18"/>
      <color theme="1"/>
      <name val="IDLC"/>
    </font>
    <font>
      <b/>
      <u/>
      <sz val="18"/>
      <color theme="9" tint="-0.249977111117893"/>
      <name val="IDLC"/>
    </font>
    <font>
      <b/>
      <u/>
      <sz val="18"/>
      <color theme="4"/>
      <name val="IDLC"/>
    </font>
    <font>
      <b/>
      <u/>
      <sz val="18"/>
      <color theme="5"/>
      <name val="IDLC"/>
    </font>
    <font>
      <b/>
      <u/>
      <sz val="18"/>
      <color rgb="FFFF0000"/>
      <name val="IDLC"/>
    </font>
    <font>
      <b/>
      <sz val="18"/>
      <name val="IDLC"/>
    </font>
    <font>
      <b/>
      <sz val="22"/>
      <color theme="9" tint="-0.249977111117893"/>
      <name val="IDLC"/>
    </font>
    <font>
      <b/>
      <sz val="72"/>
      <color rgb="FFFF0000"/>
      <name val="IDLC"/>
    </font>
    <font>
      <b/>
      <sz val="13"/>
      <color theme="1"/>
      <name val="IDLC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1" tint="0.499984740745262"/>
      </bottom>
      <diagonal/>
    </border>
    <border>
      <left/>
      <right style="medium">
        <color indexed="64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/>
      <diagonal/>
    </border>
    <border>
      <left/>
      <right style="thick">
        <color rgb="FF00B0F0"/>
      </right>
      <top/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6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4" borderId="2" xfId="0" applyFill="1" applyBorder="1" applyAlignment="1" applyProtection="1">
      <alignment horizontal="center" vertical="center" wrapText="1"/>
    </xf>
    <xf numFmtId="0" fontId="0" fillId="5" borderId="2" xfId="0" applyFill="1" applyBorder="1" applyAlignment="1" applyProtection="1">
      <alignment horizontal="left" vertical="center" wrapText="1"/>
      <protection locked="0"/>
    </xf>
    <xf numFmtId="0" fontId="0" fillId="5" borderId="2" xfId="0" applyFill="1" applyBorder="1" applyAlignment="1" applyProtection="1">
      <alignment horizontal="center" vertical="center" wrapText="1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0" fillId="6" borderId="2" xfId="0" applyFill="1" applyBorder="1" applyAlignment="1" applyProtection="1">
      <alignment horizontal="left" vertical="center" wrapText="1"/>
      <protection locked="0"/>
    </xf>
    <xf numFmtId="0" fontId="0" fillId="6" borderId="2" xfId="0" applyFill="1" applyBorder="1" applyAlignment="1" applyProtection="1">
      <alignment horizontal="center" vertical="center" wrapText="1"/>
    </xf>
    <xf numFmtId="0" fontId="0" fillId="7" borderId="2" xfId="0" applyFill="1" applyBorder="1" applyAlignment="1" applyProtection="1">
      <alignment horizontal="left" vertical="center" wrapText="1"/>
      <protection locked="0"/>
    </xf>
    <xf numFmtId="0" fontId="0" fillId="7" borderId="2" xfId="0" applyFill="1" applyBorder="1" applyAlignment="1" applyProtection="1">
      <alignment horizontal="center" vertical="center" wrapText="1"/>
    </xf>
    <xf numFmtId="0" fontId="0" fillId="8" borderId="2" xfId="0" applyFill="1" applyBorder="1" applyAlignment="1" applyProtection="1">
      <alignment horizontal="left" vertical="center" wrapText="1"/>
      <protection locked="0"/>
    </xf>
    <xf numFmtId="0" fontId="0" fillId="8" borderId="2" xfId="0" applyFill="1" applyBorder="1" applyAlignment="1" applyProtection="1">
      <alignment horizontal="center" vertical="center" wrapText="1"/>
    </xf>
    <xf numFmtId="0" fontId="7" fillId="0" borderId="1" xfId="3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38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9" fontId="0" fillId="2" borderId="5" xfId="0" applyNumberFormat="1" applyFill="1" applyBorder="1" applyAlignment="1">
      <alignment horizontal="center" vertical="center" wrapText="1"/>
    </xf>
    <xf numFmtId="9" fontId="0" fillId="2" borderId="6" xfId="0" applyNumberForma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4" fontId="0" fillId="2" borderId="5" xfId="0" applyNumberFormat="1" applyFill="1" applyBorder="1" applyAlignment="1">
      <alignment horizontal="center" vertical="center" wrapText="1"/>
    </xf>
    <xf numFmtId="10" fontId="0" fillId="0" borderId="7" xfId="0" applyNumberFormat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 wrapText="1"/>
    </xf>
    <xf numFmtId="4" fontId="0" fillId="2" borderId="7" xfId="0" applyNumberForma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10" fontId="0" fillId="0" borderId="5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40" fontId="0" fillId="0" borderId="6" xfId="0" applyNumberFormat="1" applyFill="1" applyBorder="1" applyAlignment="1">
      <alignment horizontal="center" vertical="center" wrapText="1"/>
    </xf>
    <xf numFmtId="9" fontId="0" fillId="0" borderId="7" xfId="0" applyNumberForma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40" fontId="0" fillId="0" borderId="8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9" fontId="0" fillId="0" borderId="0" xfId="0" applyNumberFormat="1" applyFill="1" applyBorder="1" applyAlignment="1">
      <alignment horizontal="center" vertical="center" wrapText="1"/>
    </xf>
    <xf numFmtId="2" fontId="6" fillId="3" borderId="1" xfId="3" applyNumberFormat="1" applyFont="1" applyFill="1" applyBorder="1" applyAlignment="1">
      <alignment horizontal="center" vertical="center" wrapText="1"/>
    </xf>
    <xf numFmtId="2" fontId="0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vertical="center"/>
    </xf>
    <xf numFmtId="15" fontId="0" fillId="0" borderId="1" xfId="0" applyNumberFormat="1" applyBorder="1" applyAlignment="1">
      <alignment vertical="center"/>
    </xf>
    <xf numFmtId="2" fontId="9" fillId="0" borderId="1" xfId="3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vertical="center"/>
    </xf>
    <xf numFmtId="9" fontId="0" fillId="13" borderId="7" xfId="0" applyNumberForma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11" fillId="14" borderId="0" xfId="0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11" fillId="12" borderId="0" xfId="0" applyFont="1" applyFill="1" applyAlignment="1">
      <alignment vertical="center"/>
    </xf>
    <xf numFmtId="0" fontId="10" fillId="12" borderId="0" xfId="0" applyFont="1" applyFill="1" applyAlignment="1">
      <alignment vertical="center"/>
    </xf>
    <xf numFmtId="4" fontId="0" fillId="0" borderId="5" xfId="0" applyNumberFormat="1" applyFill="1" applyBorder="1" applyAlignment="1">
      <alignment horizontal="center" vertical="center" wrapText="1"/>
    </xf>
    <xf numFmtId="4" fontId="0" fillId="0" borderId="7" xfId="0" applyNumberFormat="1" applyFill="1" applyBorder="1" applyAlignment="1">
      <alignment horizontal="center" vertical="center" wrapText="1"/>
    </xf>
    <xf numFmtId="164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3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2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7" fillId="0" borderId="1" xfId="3" applyFont="1" applyFill="1" applyBorder="1" applyAlignment="1" applyProtection="1">
      <alignment horizontal="left" vertical="center" wrapText="1"/>
      <protection locked="0"/>
    </xf>
    <xf numFmtId="164" fontId="18" fillId="2" borderId="1" xfId="0" applyNumberFormat="1" applyFont="1" applyFill="1" applyBorder="1" applyAlignment="1" applyProtection="1">
      <alignment horizontal="center" vertical="center"/>
      <protection locked="0"/>
    </xf>
    <xf numFmtId="164" fontId="17" fillId="2" borderId="1" xfId="0" applyNumberFormat="1" applyFont="1" applyFill="1" applyBorder="1" applyAlignment="1" applyProtection="1">
      <alignment vertical="center"/>
      <protection locked="0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0" fontId="19" fillId="7" borderId="2" xfId="0" applyFont="1" applyFill="1" applyBorder="1" applyAlignment="1" applyProtection="1">
      <alignment horizontal="center" vertical="center"/>
      <protection locked="0"/>
    </xf>
    <xf numFmtId="0" fontId="19" fillId="10" borderId="2" xfId="0" applyFont="1" applyFill="1" applyBorder="1" applyAlignment="1" applyProtection="1">
      <alignment horizontal="center" vertical="center"/>
      <protection locked="0"/>
    </xf>
    <xf numFmtId="37" fontId="18" fillId="9" borderId="1" xfId="1" applyNumberFormat="1" applyFont="1" applyFill="1" applyBorder="1" applyAlignment="1" applyProtection="1">
      <alignment horizontal="center" vertical="center"/>
    </xf>
    <xf numFmtId="3" fontId="17" fillId="9" borderId="1" xfId="0" applyNumberFormat="1" applyFont="1" applyFill="1" applyBorder="1" applyAlignment="1" applyProtection="1">
      <alignment horizontal="center" vertical="center"/>
    </xf>
    <xf numFmtId="0" fontId="18" fillId="0" borderId="2" xfId="0" applyFont="1" applyBorder="1" applyAlignment="1" applyProtection="1">
      <alignment vertical="center"/>
      <protection locked="0"/>
    </xf>
    <xf numFmtId="0" fontId="19" fillId="9" borderId="2" xfId="0" applyFont="1" applyFill="1" applyBorder="1" applyAlignment="1" applyProtection="1">
      <alignment vertical="center"/>
      <protection locked="0"/>
    </xf>
    <xf numFmtId="164" fontId="19" fillId="9" borderId="2" xfId="0" applyNumberFormat="1" applyFont="1" applyFill="1" applyBorder="1" applyAlignment="1" applyProtection="1">
      <alignment horizontal="center" vertical="center"/>
      <protection locked="0"/>
    </xf>
    <xf numFmtId="0" fontId="18" fillId="0" borderId="2" xfId="0" applyNumberFormat="1" applyFont="1" applyFill="1" applyBorder="1" applyAlignment="1" applyProtection="1">
      <alignment horizontal="left" vertical="center"/>
      <protection locked="0"/>
    </xf>
    <xf numFmtId="0" fontId="18" fillId="0" borderId="2" xfId="0" applyNumberFormat="1" applyFont="1" applyBorder="1" applyAlignment="1" applyProtection="1">
      <alignment vertical="center"/>
      <protection locked="0"/>
    </xf>
    <xf numFmtId="4" fontId="18" fillId="2" borderId="2" xfId="0" applyNumberFormat="1" applyFont="1" applyFill="1" applyBorder="1" applyAlignment="1" applyProtection="1">
      <alignment horizontal="center" vertical="center"/>
      <protection locked="0"/>
    </xf>
    <xf numFmtId="4" fontId="19" fillId="9" borderId="2" xfId="0" applyNumberFormat="1" applyFont="1" applyFill="1" applyBorder="1" applyAlignment="1" applyProtection="1">
      <alignment horizontal="center" vertical="center"/>
    </xf>
    <xf numFmtId="4" fontId="19" fillId="8" borderId="2" xfId="0" applyNumberFormat="1" applyFont="1" applyFill="1" applyBorder="1" applyAlignment="1" applyProtection="1">
      <alignment horizontal="center" vertical="center"/>
    </xf>
    <xf numFmtId="10" fontId="18" fillId="15" borderId="2" xfId="2" applyNumberFormat="1" applyFont="1" applyFill="1" applyBorder="1" applyAlignment="1" applyProtection="1">
      <alignment horizontal="right" vertical="center"/>
    </xf>
    <xf numFmtId="0" fontId="27" fillId="7" borderId="2" xfId="0" applyFont="1" applyFill="1" applyBorder="1" applyAlignment="1" applyProtection="1">
      <alignment horizontal="center" vertical="center"/>
    </xf>
    <xf numFmtId="4" fontId="19" fillId="9" borderId="16" xfId="0" applyNumberFormat="1" applyFont="1" applyFill="1" applyBorder="1" applyAlignment="1" applyProtection="1">
      <alignment horizontal="center" vertical="center"/>
    </xf>
    <xf numFmtId="0" fontId="16" fillId="7" borderId="14" xfId="0" applyFont="1" applyFill="1" applyBorder="1" applyAlignment="1" applyProtection="1">
      <alignment horizontal="center" vertical="center"/>
    </xf>
    <xf numFmtId="0" fontId="16" fillId="7" borderId="15" xfId="0" applyFont="1" applyFill="1" applyBorder="1" applyAlignment="1" applyProtection="1">
      <alignment horizontal="center" vertical="center"/>
    </xf>
    <xf numFmtId="3" fontId="18" fillId="2" borderId="2" xfId="1" applyNumberFormat="1" applyFont="1" applyFill="1" applyBorder="1" applyAlignment="1" applyProtection="1">
      <alignment horizontal="right" vertical="center"/>
      <protection locked="0"/>
    </xf>
    <xf numFmtId="10" fontId="18" fillId="2" borderId="2" xfId="2" applyNumberFormat="1" applyFont="1" applyFill="1" applyBorder="1" applyAlignment="1" applyProtection="1">
      <alignment horizontal="right" vertical="center"/>
      <protection locked="0"/>
    </xf>
    <xf numFmtId="0" fontId="19" fillId="7" borderId="16" xfId="0" applyFont="1" applyFill="1" applyBorder="1" applyAlignment="1" applyProtection="1">
      <alignment horizontal="center" vertical="center"/>
    </xf>
    <xf numFmtId="0" fontId="19" fillId="10" borderId="2" xfId="0" applyFont="1" applyFill="1" applyBorder="1" applyAlignment="1" applyProtection="1">
      <alignment horizontal="center" vertical="center"/>
    </xf>
    <xf numFmtId="0" fontId="19" fillId="5" borderId="13" xfId="0" applyFont="1" applyFill="1" applyBorder="1" applyAlignment="1" applyProtection="1">
      <alignment horizontal="center" vertical="center"/>
    </xf>
    <xf numFmtId="0" fontId="18" fillId="15" borderId="2" xfId="0" applyNumberFormat="1" applyFont="1" applyFill="1" applyBorder="1" applyAlignment="1" applyProtection="1">
      <alignment horizontal="left" vertical="center"/>
    </xf>
    <xf numFmtId="0" fontId="19" fillId="9" borderId="2" xfId="0" applyFont="1" applyFill="1" applyBorder="1" applyAlignment="1" applyProtection="1">
      <alignment vertical="center"/>
    </xf>
    <xf numFmtId="0" fontId="19" fillId="8" borderId="2" xfId="0" applyFont="1" applyFill="1" applyBorder="1" applyAlignment="1" applyProtection="1">
      <alignment vertical="center"/>
    </xf>
    <xf numFmtId="0" fontId="19" fillId="7" borderId="2" xfId="0" applyFont="1" applyFill="1" applyBorder="1" applyAlignment="1" applyProtection="1">
      <alignment horizontal="left" vertical="center"/>
    </xf>
    <xf numFmtId="3" fontId="15" fillId="2" borderId="1" xfId="0" applyNumberFormat="1" applyFont="1" applyFill="1" applyBorder="1" applyAlignment="1" applyProtection="1">
      <alignment vertical="center"/>
      <protection locked="0"/>
    </xf>
    <xf numFmtId="3" fontId="18" fillId="2" borderId="2" xfId="0" applyNumberFormat="1" applyFont="1" applyFill="1" applyBorder="1" applyAlignment="1" applyProtection="1">
      <alignment horizontal="right" vertical="center"/>
      <protection locked="0"/>
    </xf>
    <xf numFmtId="0" fontId="12" fillId="0" borderId="17" xfId="0" applyFont="1" applyBorder="1" applyAlignment="1" applyProtection="1">
      <alignment vertical="center"/>
      <protection locked="0"/>
    </xf>
    <xf numFmtId="49" fontId="12" fillId="0" borderId="18" xfId="0" applyNumberFormat="1" applyFont="1" applyBorder="1" applyAlignment="1" applyProtection="1">
      <alignment vertical="center"/>
      <protection locked="0"/>
    </xf>
    <xf numFmtId="164" fontId="12" fillId="0" borderId="18" xfId="0" applyNumberFormat="1" applyFont="1" applyBorder="1" applyAlignment="1" applyProtection="1">
      <alignment horizontal="center" vertical="center"/>
      <protection locked="0"/>
    </xf>
    <xf numFmtId="0" fontId="12" fillId="0" borderId="18" xfId="0" applyFont="1" applyBorder="1" applyAlignment="1" applyProtection="1">
      <alignment vertical="center"/>
      <protection locked="0"/>
    </xf>
    <xf numFmtId="0" fontId="13" fillId="0" borderId="18" xfId="0" applyFont="1" applyBorder="1" applyAlignment="1" applyProtection="1">
      <alignment vertical="center"/>
      <protection locked="0"/>
    </xf>
    <xf numFmtId="3" fontId="12" fillId="0" borderId="18" xfId="0" applyNumberFormat="1" applyFont="1" applyBorder="1" applyAlignment="1" applyProtection="1">
      <alignment vertical="center"/>
      <protection locked="0"/>
    </xf>
    <xf numFmtId="3" fontId="12" fillId="0" borderId="19" xfId="0" applyNumberFormat="1" applyFont="1" applyBorder="1" applyAlignment="1" applyProtection="1">
      <alignment vertical="center"/>
      <protection locked="0"/>
    </xf>
    <xf numFmtId="0" fontId="12" fillId="0" borderId="20" xfId="0" applyFont="1" applyBorder="1" applyAlignment="1" applyProtection="1">
      <alignment vertical="center"/>
      <protection locked="0"/>
    </xf>
    <xf numFmtId="0" fontId="21" fillId="0" borderId="0" xfId="0" applyFont="1" applyBorder="1" applyAlignment="1" applyProtection="1">
      <alignment vertical="center"/>
      <protection locked="0"/>
    </xf>
    <xf numFmtId="0" fontId="20" fillId="0" borderId="0" xfId="0" applyFont="1" applyBorder="1" applyAlignment="1" applyProtection="1">
      <alignment vertical="center"/>
      <protection locked="0"/>
    </xf>
    <xf numFmtId="164" fontId="12" fillId="0" borderId="0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3" fillId="0" borderId="0" xfId="0" applyFont="1" applyBorder="1" applyAlignment="1" applyProtection="1">
      <alignment vertical="center"/>
      <protection locked="0"/>
    </xf>
    <xf numFmtId="3" fontId="12" fillId="0" borderId="0" xfId="0" applyNumberFormat="1" applyFont="1" applyBorder="1" applyAlignment="1" applyProtection="1">
      <alignment vertical="center"/>
      <protection locked="0"/>
    </xf>
    <xf numFmtId="3" fontId="12" fillId="0" borderId="21" xfId="0" applyNumberFormat="1" applyFont="1" applyBorder="1" applyAlignment="1" applyProtection="1">
      <alignment vertical="center"/>
      <protection locked="0"/>
    </xf>
    <xf numFmtId="0" fontId="12" fillId="0" borderId="20" xfId="0" applyFont="1" applyBorder="1" applyAlignment="1" applyProtection="1">
      <alignment vertical="center" wrapText="1"/>
      <protection locked="0"/>
    </xf>
    <xf numFmtId="0" fontId="12" fillId="0" borderId="22" xfId="0" applyFont="1" applyBorder="1" applyAlignment="1" applyProtection="1">
      <alignment vertical="center"/>
      <protection locked="0"/>
    </xf>
    <xf numFmtId="0" fontId="12" fillId="0" borderId="23" xfId="0" applyFont="1" applyBorder="1" applyAlignment="1" applyProtection="1">
      <alignment vertical="center"/>
      <protection locked="0"/>
    </xf>
    <xf numFmtId="164" fontId="12" fillId="0" borderId="23" xfId="0" applyNumberFormat="1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vertical="center"/>
      <protection locked="0"/>
    </xf>
    <xf numFmtId="3" fontId="12" fillId="0" borderId="23" xfId="0" applyNumberFormat="1" applyFont="1" applyBorder="1" applyAlignment="1" applyProtection="1">
      <alignment vertical="center"/>
      <protection locked="0"/>
    </xf>
    <xf numFmtId="3" fontId="12" fillId="0" borderId="24" xfId="0" applyNumberFormat="1" applyFont="1" applyBorder="1" applyAlignment="1" applyProtection="1">
      <alignment vertical="center"/>
      <protection locked="0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4" fontId="26" fillId="10" borderId="13" xfId="0" applyNumberFormat="1" applyFont="1" applyFill="1" applyBorder="1" applyAlignment="1" applyProtection="1">
      <alignment horizontal="center" vertical="center"/>
    </xf>
    <xf numFmtId="4" fontId="26" fillId="10" borderId="14" xfId="0" applyNumberFormat="1" applyFont="1" applyFill="1" applyBorder="1" applyAlignment="1" applyProtection="1">
      <alignment horizontal="center" vertical="center"/>
    </xf>
    <xf numFmtId="4" fontId="26" fillId="10" borderId="15" xfId="0" applyNumberFormat="1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left" vertical="center"/>
      <protection locked="0"/>
    </xf>
    <xf numFmtId="0" fontId="28" fillId="7" borderId="14" xfId="0" applyFont="1" applyFill="1" applyBorder="1" applyAlignment="1" applyProtection="1">
      <alignment horizontal="center" vertical="center"/>
    </xf>
    <xf numFmtId="0" fontId="29" fillId="9" borderId="1" xfId="0" applyFont="1" applyFill="1" applyBorder="1" applyAlignment="1" applyProtection="1">
      <alignment horizontal="left" vertical="center" wrapText="1"/>
      <protection locked="0"/>
    </xf>
    <xf numFmtId="0" fontId="18" fillId="9" borderId="1" xfId="0" applyFont="1" applyFill="1" applyBorder="1" applyAlignment="1" applyProtection="1">
      <alignment horizontal="left" vertical="center" wrapText="1"/>
      <protection locked="0"/>
    </xf>
    <xf numFmtId="164" fontId="18" fillId="9" borderId="1" xfId="0" applyNumberFormat="1" applyFont="1" applyFill="1" applyBorder="1" applyAlignment="1" applyProtection="1">
      <alignment horizontal="center" vertical="center" wrapText="1"/>
      <protection locked="0"/>
    </xf>
    <xf numFmtId="4" fontId="19" fillId="9" borderId="16" xfId="0" applyNumberFormat="1" applyFont="1" applyFill="1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 applyProtection="1">
      <alignment horizontal="center" vertical="center" wrapText="1"/>
      <protection locked="0"/>
    </xf>
    <xf numFmtId="0" fontId="3" fillId="8" borderId="4" xfId="0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10" borderId="3" xfId="0" applyFont="1" applyFill="1" applyBorder="1" applyAlignment="1" applyProtection="1">
      <alignment horizontal="center" vertical="center" wrapText="1"/>
      <protection locked="0"/>
    </xf>
    <xf numFmtId="0" fontId="3" fillId="10" borderId="4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3" fillId="6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 applyProtection="1">
      <alignment horizontal="left" vertical="center" wrapText="1"/>
      <protection locked="0"/>
    </xf>
    <xf numFmtId="0" fontId="0" fillId="4" borderId="2" xfId="0" applyFill="1" applyBorder="1" applyAlignment="1" applyProtection="1">
      <alignment horizontal="center" vertical="center" wrapText="1"/>
      <protection locked="0"/>
    </xf>
    <xf numFmtId="9" fontId="0" fillId="6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</cellXfs>
  <cellStyles count="5">
    <cellStyle name="Comma" xfId="1" builtinId="3"/>
    <cellStyle name="Comma 2" xfId="4"/>
    <cellStyle name="Normal" xfId="0" builtinId="0"/>
    <cellStyle name="Normal 2" xfId="3"/>
    <cellStyle name="Percent" xfId="2" builtinId="5"/>
  </cellStyles>
  <dxfs count="2">
    <dxf>
      <numFmt numFmtId="164" formatCode="[$-409]d\-mmm\-yy;@"/>
      <fill>
        <patternFill>
          <bgColor theme="5" tint="0.7999816888943144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Q26"/>
  <sheetViews>
    <sheetView showGridLines="0" tabSelected="1" zoomScale="90" zoomScaleNormal="90" workbookViewId="0">
      <selection activeCell="E6" sqref="E6"/>
    </sheetView>
  </sheetViews>
  <sheetFormatPr defaultColWidth="9.1796875" defaultRowHeight="12.5" x14ac:dyDescent="0.35"/>
  <cols>
    <col min="1" max="1" width="2.26953125" style="67" customWidth="1"/>
    <col min="2" max="2" width="34.7265625" style="67" customWidth="1"/>
    <col min="3" max="3" width="15.1796875" style="67" customWidth="1"/>
    <col min="4" max="4" width="14.7265625" style="66" customWidth="1"/>
    <col min="5" max="6" width="14.36328125" style="67" bestFit="1" customWidth="1"/>
    <col min="7" max="7" width="11.7265625" style="67" customWidth="1"/>
    <col min="8" max="8" width="12.90625" style="68" hidden="1" customWidth="1"/>
    <col min="9" max="9" width="10.54296875" style="69" customWidth="1"/>
    <col min="10" max="10" width="19.1796875" style="67" bestFit="1" customWidth="1"/>
    <col min="11" max="11" width="13.90625" style="69" bestFit="1" customWidth="1"/>
    <col min="12" max="12" width="5.36328125" style="69" customWidth="1"/>
    <col min="13" max="13" width="13.36328125" style="67" bestFit="1" customWidth="1"/>
    <col min="14" max="14" width="9.1796875" style="67"/>
    <col min="15" max="15" width="9.54296875" style="67" bestFit="1" customWidth="1"/>
    <col min="16" max="16" width="9.1796875" style="67"/>
    <col min="17" max="17" width="10" style="67" bestFit="1" customWidth="1"/>
    <col min="18" max="16384" width="9.1796875" style="67"/>
  </cols>
  <sheetData>
    <row r="1" spans="1:17" ht="10.5" customHeight="1" thickTop="1" x14ac:dyDescent="0.35">
      <c r="A1" s="105"/>
      <c r="B1" s="106"/>
      <c r="C1" s="106"/>
      <c r="D1" s="107"/>
      <c r="E1" s="108"/>
      <c r="F1" s="108"/>
      <c r="G1" s="108"/>
      <c r="H1" s="109"/>
      <c r="I1" s="110"/>
      <c r="J1" s="108"/>
      <c r="K1" s="110"/>
      <c r="L1" s="111"/>
    </row>
    <row r="2" spans="1:17" ht="24" x14ac:dyDescent="0.35">
      <c r="A2" s="112"/>
      <c r="B2" s="113" t="s">
        <v>111</v>
      </c>
      <c r="C2" s="114"/>
      <c r="D2" s="115"/>
      <c r="E2" s="115"/>
      <c r="F2" s="115"/>
      <c r="G2" s="116"/>
      <c r="H2" s="117"/>
      <c r="I2" s="118"/>
      <c r="J2" s="116"/>
      <c r="K2" s="118"/>
      <c r="L2" s="119"/>
    </row>
    <row r="3" spans="1:17" ht="11" customHeight="1" x14ac:dyDescent="0.35">
      <c r="A3" s="112"/>
      <c r="B3" s="116"/>
      <c r="C3" s="116"/>
      <c r="D3" s="116"/>
      <c r="E3" s="116"/>
      <c r="F3" s="116"/>
      <c r="G3" s="116"/>
      <c r="H3" s="117"/>
      <c r="I3" s="118"/>
      <c r="J3" s="116"/>
      <c r="K3" s="118"/>
      <c r="L3" s="119"/>
    </row>
    <row r="4" spans="1:17" s="70" customFormat="1" ht="15" customHeight="1" x14ac:dyDescent="0.35">
      <c r="A4" s="120"/>
      <c r="B4" s="135" t="s">
        <v>79</v>
      </c>
      <c r="C4" s="134" t="s">
        <v>114</v>
      </c>
      <c r="D4" s="136" t="s">
        <v>80</v>
      </c>
      <c r="E4" s="128" t="s">
        <v>81</v>
      </c>
      <c r="F4" s="128"/>
      <c r="G4" s="128"/>
      <c r="H4" s="127" t="s">
        <v>88</v>
      </c>
      <c r="I4" s="118"/>
      <c r="J4" s="116"/>
      <c r="K4" s="118"/>
      <c r="L4" s="119"/>
      <c r="M4" s="67"/>
    </row>
    <row r="5" spans="1:17" s="70" customFormat="1" ht="22.5" customHeight="1" x14ac:dyDescent="0.35">
      <c r="A5" s="120"/>
      <c r="B5" s="135"/>
      <c r="C5" s="134"/>
      <c r="D5" s="136"/>
      <c r="E5" s="76" t="s">
        <v>0</v>
      </c>
      <c r="F5" s="76" t="s">
        <v>1</v>
      </c>
      <c r="G5" s="76" t="s">
        <v>86</v>
      </c>
      <c r="H5" s="127"/>
      <c r="I5" s="118"/>
      <c r="J5" s="116"/>
      <c r="K5" s="118"/>
      <c r="L5" s="119"/>
      <c r="M5" s="67"/>
    </row>
    <row r="6" spans="1:17" ht="20" customHeight="1" x14ac:dyDescent="0.35">
      <c r="A6" s="112"/>
      <c r="B6" s="73" t="s">
        <v>110</v>
      </c>
      <c r="C6" s="103" t="s">
        <v>115</v>
      </c>
      <c r="D6" s="74">
        <v>44621</v>
      </c>
      <c r="E6" s="75">
        <v>45292</v>
      </c>
      <c r="F6" s="75">
        <v>45351</v>
      </c>
      <c r="G6" s="79">
        <f>IF(IFERROR(IF(OR(E6="",F6=""),"N/A",IF(AND(D6&gt;E6,DAY(D6)=1),DATEDIF(D6+1,F6+1,"M"),IF(AND(D6&gt;E6,DAY(D6)&lt;&gt;1),DATEDIF(D6,F6+1,"M"),DATEDIF(E6,F6+1,"M")))),"N/A")=0,"N/A",IFERROR(IF(OR(E6="",F6=""),"N/A",IF(AND(D6&gt;E6,DAY(D6)=1),DATEDIF(D6+1,F6+1,"M"),IF(AND(D6&gt;E6,DAY(D6)&lt;&gt;1),DATEDIF(D6,F6+1,"M"),DATEDIF(E6,F6+1,"M")))),"N/A"))</f>
        <v>2</v>
      </c>
      <c r="H6" s="80">
        <f>IF(OR(D6&gt;F6,F6=""),"-",(DATEDIF(D6,F6+1,"M")))</f>
        <v>24</v>
      </c>
      <c r="I6" s="118"/>
      <c r="J6" s="116"/>
      <c r="K6" s="118"/>
      <c r="L6" s="119"/>
      <c r="O6" s="69"/>
      <c r="Q6" s="71"/>
    </row>
    <row r="7" spans="1:17" x14ac:dyDescent="0.35">
      <c r="A7" s="112"/>
      <c r="B7" s="116"/>
      <c r="C7" s="116"/>
      <c r="D7" s="115"/>
      <c r="E7" s="116"/>
      <c r="F7" s="116"/>
      <c r="G7" s="116"/>
      <c r="H7" s="117"/>
      <c r="I7" s="118"/>
      <c r="J7" s="116"/>
      <c r="K7" s="118"/>
      <c r="L7" s="119"/>
    </row>
    <row r="8" spans="1:17" x14ac:dyDescent="0.35">
      <c r="A8" s="112"/>
      <c r="B8" s="116"/>
      <c r="C8" s="116"/>
      <c r="D8" s="115"/>
      <c r="E8" s="116"/>
      <c r="F8" s="116"/>
      <c r="G8" s="116"/>
      <c r="H8" s="117"/>
      <c r="I8" s="118"/>
      <c r="J8" s="116"/>
      <c r="K8" s="118"/>
      <c r="L8" s="119"/>
    </row>
    <row r="9" spans="1:17" ht="20" customHeight="1" x14ac:dyDescent="0.35">
      <c r="A9" s="112"/>
      <c r="B9" s="82" t="s">
        <v>100</v>
      </c>
      <c r="C9" s="83"/>
      <c r="D9" s="96" t="s">
        <v>53</v>
      </c>
      <c r="E9" s="97" t="s">
        <v>85</v>
      </c>
      <c r="F9" s="98" t="s">
        <v>83</v>
      </c>
      <c r="G9" s="116"/>
      <c r="H9" s="117"/>
      <c r="I9" s="118"/>
      <c r="J9" s="77" t="s">
        <v>109</v>
      </c>
      <c r="K9" s="78" t="s">
        <v>101</v>
      </c>
      <c r="L9" s="119"/>
    </row>
    <row r="10" spans="1:17" ht="20" customHeight="1" x14ac:dyDescent="0.35">
      <c r="A10" s="112"/>
      <c r="B10" s="84" t="s">
        <v>102</v>
      </c>
      <c r="C10" s="94">
        <v>100</v>
      </c>
      <c r="D10" s="137">
        <f>IF($C$6="SIS",(IF($H6&lt;=12,IFERROR((IF(OR($C12=0,$C12=""),0,IF(AND($C12&gt;=CCT!$B$21,$C12&lt;CCT!$C$21),CCT!$F$21+(CCT!$G$21-CCT!$F$21)/(CCT!$C$21-CCT!$B$21)*($C12-CCT!$B$21),IF(AND($C12&gt;=CCT!$B$20,$C12&lt;CCT!$C$20),CCT!$F$20+(CCT!$G$20-CCT!$F$20)/(CCT!$C$20-CCT!$B$20)*($C12-CCT!$B$20),IF(AND($C12&gt;=CCT!$B$19,$C12&lt;CCT!$C$19),CCT!$F$19+(CCT!$G$19-CCT!$F$19)/(CCT!$C$19-CCT!$B$19)*($C12-CCT!$B$19),IF(AND($C12&gt;=CCT!$B$18,$C12&lt;CCT!$C$18),CCT!$F$18+(CCT!$G$18-CCT!$F$18)/(CCT!$C$18-CCT!$B$18)*($C12-CCT!$B$18),IF($C12&gt;=CCT!$C$18,CCT!$G$18,0))))))),0),IFERROR((IF(OR($C12=0,$C12=""),0,IF(AND($C12&gt;=CCT!$B$21,$C12&lt;CCT!$C$21),CCT!$D$21+(CCT!$E$21-CCT!$D$21)/(CCT!$C$21-CCT!$B$21)*($C12-CCT!$B$21),IF(AND($C12&gt;=CCT!$B$20,$C12&lt;CCT!$C$20),CCT!$D$20+(CCT!$E$20-CCT!$D$20)/(CCT!$C$20-CCT!$B$20)*($C12-CCT!$B$20),IF(AND($C12&gt;=CCT!$B$19,$C12&lt;CCT!$C$19),CCT!$D$19+(CCT!$E$19-CCT!$D$19)/(CCT!$C$19-CCT!$B$19)*($C12-CCT!$B$19),IF(AND($C12&gt;=CCT!$B$18,$C12&lt;CCT!$C$18),CCT!$D$18+(CCT!$E$18-CCT!$D$18)/(CCT!$C$18-CCT!$B$18)*($C12-CCT!$B$18),IF($C12&gt;=CCT!$C$18,CCT!$E$18,0))))))),0))),IF($C$6="APB",(IF($H6&lt;=12,IFERROR((IF(OR($C12=0,$C12=""),0,IF(AND($C12&gt;=CCT!$T$21,$C12&lt;CCT!$U$21),CCT!$X$21+(CCT!$Y$21-CCT!$X$21)/(CCT!$U$21-CCT!$T$21)*($C12-CCT!$T$21),IF(AND($C12&gt;=CCT!$T$20,$C12&lt;CCT!$U$20),CCT!$X$20+(CCT!$Y$20-CCT!$X$20)/(CCT!$U$20-CCT!$T$20)*($C12-CCT!$T$20),IF(AND($C12&gt;=CCT!$T$19,$C12&lt;CCT!$U$19),CCT!$X$19+(CCT!$Y$19-CCT!$X$19)/(CCT!$U$19-CCT!$T$19)*($C12-CCT!$T$19),IF(AND($C12&gt;=CCT!$T$18,$C12&lt;CCT!$U$18),CCT!$X$18+(CCT!$Y$18-CCT!$X$18)/(CCT!$U$18-CCT!$T$18)*($C12-CCT!$T$18),IF($C12&gt;=CCT!$U$18,CCT!$Y$18,0))))))),0),IFERROR((IF(OR($C12=0,$C12=""),0,IF(AND($C12&gt;=CCT!$T$21,$C12&lt;CCT!$U$21),CCT!$V$21+(CCT!$W$21-CCT!$V$21)/(CCT!$U$21-CCT!$T$21)*($C12-CCT!$T$21),IF(AND($C12&gt;=CCT!$T$20,$C12&lt;CCT!$U$20),CCT!$V$20+(CCT!$W$20-CCT!$V$20)/(CCT!$U$20-CCT!$T$20)*($C12-CCT!$T$20),IF(AND($C12&gt;=CCT!$T$19,$C12&lt;CCT!$U$19),CCT!$V$19+(CCT!$W$19-CCT!$V$19)/(CCT!$U$19-CCT!$T$19)*($C12-CCT!$T$19),IF(AND($C12&gt;=CCT!$T$18,$C12&lt;CCT!$U$18),CCT!$V$18+(CCT!$W$18-CCT!$V$18)/(CCT!$U$18-CCT!$T$18)*($C12-CCT!$T$18),IF($C12&gt;=CCT!$U$18,CCT!$W$18,0))))))),0))),IF($C$6="TPCE",(IF($H6&lt;=12,IFERROR((IF(OR($C12=0,$C12=""),0,IF(AND($C12&gt;=CCT!$K$21,$C12&lt;CCT!$L$21),CCT!$O$21+(CCT!$P$21-CCT!$O$21)/(CCT!$L$21-CCT!$K$21)*($C12-CCT!$K$21),IF(AND($C12&gt;=CCT!$K$20,$C12&lt;CCT!$L$20),CCT!$O$20+(CCT!$P$20-CCT!$O$20)/(CCT!$L$20-CCT!$K$20)*($C12-CCT!$K$20),IF(AND($C12&gt;=CCT!$K$19,$C12&lt;CCT!$L$19),CCT!$O$19+(CCT!$P$19-CCT!$O$19)/(CCT!$L$19-CCT!$K$19)*($C12-CCT!$K$19),IF(AND($C12&gt;=CCT!$K$18,$C12&lt;CCT!$L$18),CCT!$O$18+(CCT!$P$18-CCT!$O$18)/(CCT!$L$18-CCT!$K$18)*($C12-CCT!$K$18),IF($C12&gt;=CCT!$L$18,CCT!$P$18,0))))))),0),IFERROR((IF(OR($C12=0,$C12=""),0,IF(AND($C12&gt;=CCT!$K$21,$C12&lt;CCT!$L$21),CCT!$M$21+(CCT!$N$21-CCT!$M$21)/(CCT!$L$21-CCT!$K$21)*($C12-CCT!$K$21),IF(AND($C12&gt;=CCT!$K$20,$C12&lt;CCT!$L$20),CCT!$M$20+(CCT!$N$20-CCT!$M$20)/(CCT!$L$20-CCT!$K$20)*($C12-CCT!$K$20),IF(AND($C12&gt;=CCT!$K$19,$C12&lt;CCT!$L$19),CCT!$M$19+(CCT!$N$19-CCT!$M$19)/(CCT!$L$19-CCT!$K$19)*($C12-CCT!$K$19),IF(AND($C12&gt;=CCT!$K$18,$C12&lt;CCT!$L$18),CCT!$M$18+(CCT!$N$18-CCT!$M$18)/(CCT!$L$18-CCT!$K$18)*($C12-CCT!$K$18),IF($C12&gt;=CCT!$L$18,CCT!$N$18,0))))))),0))),0)))</f>
        <v>80</v>
      </c>
      <c r="E10" s="129">
        <f>SUM(D10:D15)</f>
        <v>90</v>
      </c>
      <c r="F10" s="92" t="str">
        <f>INDEX(CCT!$B$5:$B$8,MATCH(F11,CCT!$C$5:$C$8,0))</f>
        <v>Standard</v>
      </c>
      <c r="G10" s="116"/>
      <c r="H10" s="117"/>
      <c r="I10" s="118"/>
      <c r="J10" s="81" t="s">
        <v>112</v>
      </c>
      <c r="K10" s="86">
        <v>100</v>
      </c>
      <c r="L10" s="119"/>
    </row>
    <row r="11" spans="1:17" ht="20" customHeight="1" x14ac:dyDescent="0.35">
      <c r="A11" s="112"/>
      <c r="B11" s="84" t="s">
        <v>82</v>
      </c>
      <c r="C11" s="94">
        <v>150</v>
      </c>
      <c r="D11" s="137"/>
      <c r="E11" s="130"/>
      <c r="F11" s="133" t="str">
        <f>IF(OR($G6="N/A",$G6=0),"N/A",IF(AND(E10&gt;CCT!$D$5,E10&lt;=CCT!$E$5),CCT!$C$5,IF(AND(E10&gt;CCT!$D$6,E10&lt;=CCT!$E$6),CCT!$C$6,IF(AND(E10&gt;CCT!$D$7,E10&lt;=CCT!$E$7),CCT!$C$7,IF(AND(E10&gt;=CCT!$D$8,E10&lt;=CCT!$E$8),CCT!$C$8,"N/A")))))</f>
        <v>S</v>
      </c>
      <c r="G11" s="116"/>
      <c r="H11" s="117"/>
      <c r="I11" s="118"/>
      <c r="J11" s="81" t="s">
        <v>112</v>
      </c>
      <c r="K11" s="86">
        <v>80</v>
      </c>
      <c r="L11" s="119"/>
    </row>
    <row r="12" spans="1:17" ht="20" customHeight="1" x14ac:dyDescent="0.35">
      <c r="A12" s="112"/>
      <c r="B12" s="99" t="s">
        <v>103</v>
      </c>
      <c r="C12" s="89">
        <f>IFERROR(C11/C10,0)</f>
        <v>1.5</v>
      </c>
      <c r="D12" s="137"/>
      <c r="E12" s="130"/>
      <c r="F12" s="133"/>
      <c r="G12" s="116"/>
      <c r="H12" s="117"/>
      <c r="I12" s="118"/>
      <c r="J12" s="81" t="s">
        <v>112</v>
      </c>
      <c r="K12" s="86"/>
      <c r="L12" s="119"/>
    </row>
    <row r="13" spans="1:17" ht="20" customHeight="1" x14ac:dyDescent="0.35">
      <c r="A13" s="112"/>
      <c r="B13" s="84" t="s">
        <v>107</v>
      </c>
      <c r="C13" s="104">
        <v>4</v>
      </c>
      <c r="D13" s="91">
        <f>IF($C$6="SIS",(IFERROR(IF(AND(H6&lt;=12,C13/G6&gt;=CCT!$F$31),CCT!$G$31,IF(AND(H6&lt;=12,C13/G6&lt;CCT!$F$31),(CCT!$G$31/CCT!$F$31)*(C13/G6),IF(AND(H6&gt;12,C13/G6&gt;=CCT!$D$31),CCT!$E$31,IF(AND(H6&gt;12,C13/G6&lt;CCT!$D$31),(CCT!$E$31/CCT!$D$31)*(C13/G6),"?")))),0)),IF($C$6="APB",(IFERROR(IF(AND(H6&lt;=12,C13/G6&gt;=CCT!$X$31),CCT!$Y$31,IF(AND(H6&lt;=12,C13/G6&lt;CCT!$X$31),(CCT!$Y$31/CCT!$X$31)*(C13/G6),IF(AND(H6&gt;12,C13/G6&gt;=CCT!$V$31),CCT!$W$31,IF(AND(H6&gt;12,C13/G6&lt;CCT!$V$31),(CCT!$W$31/CCT!$V$31)*(C13/G6),"?")))),0)),IF($C$6="TPCE",(IFERROR(IF(AND(H6&lt;=12,C13/G6&gt;=CCT!$O$31),CCT!$P$31,IF(AND(H6&lt;=12,C13/G6&lt;CCT!$O$31),(CCT!$P$31/CCT!$O$31)*(C13/G6),IF(AND(H6&gt;12,C13/G6&gt;=CCT!$M$31),CCT!$N$31,IF(AND(H6&gt;12,C13/G6&lt;CCT!$M$31),(CCT!$N$31/CCT!$M$31)*(C13/G6),"?")))),0)),0)))</f>
        <v>10</v>
      </c>
      <c r="E13" s="130"/>
      <c r="F13" s="133"/>
      <c r="G13" s="116"/>
      <c r="H13" s="117"/>
      <c r="I13" s="118"/>
      <c r="J13" s="81" t="s">
        <v>112</v>
      </c>
      <c r="K13" s="86"/>
      <c r="L13" s="119"/>
    </row>
    <row r="14" spans="1:17" ht="20" customHeight="1" x14ac:dyDescent="0.35">
      <c r="A14" s="112"/>
      <c r="B14" s="85" t="s">
        <v>106</v>
      </c>
      <c r="C14" s="94">
        <v>10</v>
      </c>
      <c r="D14" s="137">
        <f>IF($C$6="SIS",(IF(C14=0,0,IF(AND(H6&lt;=12,C15&lt;=CCT!$F$25),CCT!$G$25,IF(AND(H6&lt;=12,C15&gt;0),CCT!$G$26,IF(AND(H6&gt;12,C15&lt;=CCT!$D$25),CCT!$E$25,IF(AND(H6&gt;12,C15&gt;=CCT!$D$26),CCT!$E$26,IF(AND(H6&gt;12,C15&gt;CCT!$D$25),((CCT!$D$26-C15)/(CCT!$D$26-CCT!$D$25)*CCT!$E$25),"?"))))))),IF($C$6="APB",(IF(C14=0,0,IF(AND(H6&lt;=12,C15&lt;=CCT!$X$25),CCT!$Y$25,IF(AND(H6&lt;=12,C15&gt;0),CCT!$Y$26,IF(AND(H6&gt;12,C15&lt;=CCT!$V$25),CCT!$W$25,IF(AND(H6&gt;12,C15&gt;=CCT!$V$26),CCT!$W$26,IF(AND(H6&gt;12,C15&gt;CCT!$V$25),((CCT!$V$26-C15)/(CCT!$V$26-CCT!$V$25)*CCT!$W$25),"?"))))))),IF($C$6="TPCE",IF(OR($C14=0,$H6="-"),0,IF(AND($H6&lt;=12,$C15&lt;=CCT!$O$25),CCT!$P$25,IF(AND($H6&lt;=12,$C15&gt;0),CCT!$P$26,IF(AND($H6&gt;12,$C15&lt;=CCT!$M$25),CCT!$N$25,IF(AND($H6&gt;12,$C15&gt;CCT!$M$26),CCT!$N$26,"?"))))),0)))</f>
        <v>0</v>
      </c>
      <c r="E14" s="130"/>
      <c r="F14" s="133"/>
      <c r="G14" s="116"/>
      <c r="H14" s="117"/>
      <c r="I14" s="118"/>
      <c r="J14" s="100" t="s">
        <v>101</v>
      </c>
      <c r="K14" s="87">
        <f>SUM(K10:K13)</f>
        <v>180</v>
      </c>
      <c r="L14" s="119"/>
    </row>
    <row r="15" spans="1:17" ht="20" customHeight="1" x14ac:dyDescent="0.35">
      <c r="A15" s="112"/>
      <c r="B15" s="84" t="s">
        <v>108</v>
      </c>
      <c r="C15" s="95">
        <v>0.01</v>
      </c>
      <c r="D15" s="137"/>
      <c r="E15" s="131"/>
      <c r="F15" s="93" t="str">
        <f>INDEX(CCT!$B$5:$B$8,MATCH(F11,CCT!$C$5:$C$8,0))</f>
        <v>Standard</v>
      </c>
      <c r="G15" s="116"/>
      <c r="H15" s="117"/>
      <c r="I15" s="118"/>
      <c r="J15" s="101" t="s">
        <v>104</v>
      </c>
      <c r="K15" s="88">
        <f>IFERROR(K14/COUNTIFS($K$10:$K$13,"&gt;=0"),"0.00")</f>
        <v>90</v>
      </c>
      <c r="L15" s="119"/>
    </row>
    <row r="16" spans="1:17" ht="20" customHeight="1" x14ac:dyDescent="0.35">
      <c r="A16" s="112"/>
      <c r="B16" s="116"/>
      <c r="C16" s="116"/>
      <c r="D16" s="115"/>
      <c r="E16" s="116"/>
      <c r="F16" s="116"/>
      <c r="G16" s="116"/>
      <c r="H16" s="117"/>
      <c r="I16" s="118"/>
      <c r="J16" s="102" t="s">
        <v>105</v>
      </c>
      <c r="K16" s="90" t="str">
        <f>IF(AND(K15&gt;CCT!$D$5,K15&lt;=CCT!$E$5),CCT!$C$5,IF(AND(K15&gt;CCT!$D$6,K15&lt;=CCT!$E$6),CCT!$C$6,IF(AND(K15&gt;CCT!$D$7,K15&lt;=CCT!$E$7),CCT!$C$7,IF(AND(K15&gt;=CCT!$D$8,K15&lt;=CCT!$E$8),CCT!$C$8,"N/A"))))</f>
        <v>S</v>
      </c>
      <c r="L16" s="119"/>
    </row>
    <row r="17" spans="1:12" ht="20" customHeight="1" x14ac:dyDescent="0.35">
      <c r="A17" s="112"/>
      <c r="B17" s="132" t="s">
        <v>113</v>
      </c>
      <c r="C17" s="132"/>
      <c r="D17" s="132"/>
      <c r="E17" s="116"/>
      <c r="F17" s="116"/>
      <c r="G17" s="116"/>
      <c r="H17" s="117"/>
      <c r="I17" s="118"/>
      <c r="J17" s="116"/>
      <c r="K17" s="118"/>
      <c r="L17" s="119"/>
    </row>
    <row r="18" spans="1:12" ht="13" thickBot="1" x14ac:dyDescent="0.4">
      <c r="A18" s="121"/>
      <c r="B18" s="122"/>
      <c r="C18" s="122"/>
      <c r="D18" s="123"/>
      <c r="E18" s="122"/>
      <c r="F18" s="122"/>
      <c r="G18" s="122"/>
      <c r="H18" s="124"/>
      <c r="I18" s="125"/>
      <c r="J18" s="122"/>
      <c r="K18" s="125"/>
      <c r="L18" s="126"/>
    </row>
    <row r="19" spans="1:12" ht="20" customHeight="1" thickTop="1" x14ac:dyDescent="0.35">
      <c r="K19" s="67"/>
      <c r="L19" s="67"/>
    </row>
    <row r="20" spans="1:12" x14ac:dyDescent="0.35">
      <c r="D20" s="67"/>
      <c r="J20" s="70"/>
      <c r="K20" s="70"/>
      <c r="L20" s="70"/>
    </row>
    <row r="21" spans="1:12" x14ac:dyDescent="0.35">
      <c r="J21" s="70"/>
      <c r="K21" s="70"/>
      <c r="L21" s="70"/>
    </row>
    <row r="22" spans="1:12" x14ac:dyDescent="0.35">
      <c r="K22" s="67"/>
      <c r="L22" s="67"/>
    </row>
    <row r="23" spans="1:12" x14ac:dyDescent="0.35">
      <c r="E23" s="72"/>
      <c r="H23" s="67"/>
      <c r="I23" s="67"/>
      <c r="K23" s="67"/>
      <c r="L23" s="67"/>
    </row>
    <row r="24" spans="1:12" x14ac:dyDescent="0.35">
      <c r="E24" s="72"/>
      <c r="H24" s="67"/>
      <c r="I24" s="67"/>
    </row>
    <row r="25" spans="1:12" x14ac:dyDescent="0.35">
      <c r="D25" s="67"/>
      <c r="H25" s="67"/>
      <c r="I25" s="67"/>
    </row>
    <row r="26" spans="1:12" x14ac:dyDescent="0.35">
      <c r="D26" s="67"/>
      <c r="H26" s="67"/>
      <c r="I26" s="67"/>
      <c r="K26" s="67"/>
      <c r="L26" s="67"/>
    </row>
  </sheetData>
  <sheetProtection algorithmName="SHA-512" hashValue="B+gHP2dF1cB4Xul5UYCqxeAsXNRKwSqgC5AolwPeooZZuMzLik9DKqtMunfvDAoaa5u/dkobPzPZNJRi43/Ntw==" saltValue="MARmdFda5y2IkUweDHH2gA==" spinCount="100000" sheet="1" objects="1" scenarios="1" autoFilter="0"/>
  <mergeCells count="10">
    <mergeCell ref="H4:H5"/>
    <mergeCell ref="E4:G4"/>
    <mergeCell ref="E10:E15"/>
    <mergeCell ref="B17:D17"/>
    <mergeCell ref="F11:F14"/>
    <mergeCell ref="C4:C5"/>
    <mergeCell ref="B4:B5"/>
    <mergeCell ref="D4:D5"/>
    <mergeCell ref="D10:D12"/>
    <mergeCell ref="D14:D15"/>
  </mergeCells>
  <conditionalFormatting sqref="G6">
    <cfRule type="expression" dxfId="1" priority="48">
      <formula>G6="N/A"</formula>
    </cfRule>
  </conditionalFormatting>
  <conditionalFormatting sqref="F6">
    <cfRule type="expression" dxfId="0" priority="49">
      <formula>F6&gt;#REF!</formula>
    </cfRule>
  </conditionalFormatting>
  <dataValidations count="1">
    <dataValidation type="list" allowBlank="1" showInputMessage="1" showErrorMessage="1" sqref="C6">
      <formula1>"SIS,APB,TPCE"</formula1>
    </dataValidation>
  </dataValidations>
  <pageMargins left="0.7" right="0.7" top="0.75" bottom="0.75" header="0.3" footer="0.3"/>
  <pageSetup scale="53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CCT!$AE$2:$AE$49</xm:f>
          </x14:formula1>
          <xm:sqref>F6</xm:sqref>
        </x14:dataValidation>
        <x14:dataValidation type="list" allowBlank="1" showErrorMessage="1" errorTitle="Data Not Available" error="Data available from 1 Jan 2013" promptTitle="Data Not Available" prompt="Data available from 1 Jan 2013">
          <x14:formula1>
            <xm:f>CCT!$AD$2:$AD$49</xm:f>
          </x14:formula1>
          <xm:sqref>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50"/>
  <sheetViews>
    <sheetView showGridLines="0" topLeftCell="T1" workbookViewId="0">
      <pane ySplit="1" topLeftCell="A33" activePane="bottomLeft" state="frozen"/>
      <selection pane="bottomLeft" activeCell="AD50" sqref="AD50:AE50"/>
    </sheetView>
  </sheetViews>
  <sheetFormatPr defaultRowHeight="14.5" outlineLevelCol="1" x14ac:dyDescent="0.35"/>
  <cols>
    <col min="1" max="1" width="2.1796875" style="55" customWidth="1"/>
    <col min="2" max="2" width="18.26953125" style="55" customWidth="1" outlineLevel="1"/>
    <col min="3" max="3" width="10.54296875" style="55" customWidth="1" outlineLevel="1"/>
    <col min="4" max="4" width="11.81640625" style="55" customWidth="1" outlineLevel="1"/>
    <col min="5" max="5" width="8.7265625" style="55" customWidth="1" outlineLevel="1"/>
    <col min="6" max="6" width="11.26953125" style="55" customWidth="1" outlineLevel="1"/>
    <col min="7" max="10" width="8.7265625" style="55" customWidth="1" outlineLevel="1"/>
    <col min="11" max="11" width="18.26953125" style="55" customWidth="1" outlineLevel="1"/>
    <col min="12" max="14" width="8.7265625" style="55" customWidth="1" outlineLevel="1"/>
    <col min="15" max="15" width="16.08984375" style="55" customWidth="1" outlineLevel="1"/>
    <col min="16" max="17" width="8.7265625" style="55" customWidth="1" outlineLevel="1"/>
    <col min="18" max="18" width="8.7265625" customWidth="1" outlineLevel="1"/>
    <col min="19" max="19" width="8.7265625" style="55" customWidth="1" outlineLevel="1"/>
    <col min="20" max="20" width="18.26953125" style="55" customWidth="1" outlineLevel="1"/>
    <col min="21" max="21" width="10.54296875" style="55" customWidth="1" outlineLevel="1"/>
    <col min="22" max="22" width="11.81640625" style="55" customWidth="1" outlineLevel="1"/>
    <col min="23" max="23" width="8.7265625" style="55" customWidth="1" outlineLevel="1"/>
    <col min="24" max="24" width="11.26953125" style="55" customWidth="1" outlineLevel="1"/>
    <col min="25" max="26" width="8.7265625" style="55" customWidth="1" outlineLevel="1"/>
    <col min="27" max="28" width="8.7265625" style="55"/>
    <col min="29" max="29" width="8.7265625" style="55" customWidth="1" outlineLevel="1"/>
    <col min="30" max="31" width="10.1796875" style="55" customWidth="1" outlineLevel="1"/>
    <col min="32" max="32" width="8.7265625" style="55" customWidth="1" outlineLevel="1"/>
    <col min="33" max="33" width="12.7265625" style="55" customWidth="1" outlineLevel="1"/>
    <col min="34" max="34" width="8.7265625" style="55" customWidth="1" outlineLevel="1"/>
    <col min="35" max="35" width="9.1796875" style="55"/>
    <col min="36" max="16384" width="8.7265625" style="55"/>
  </cols>
  <sheetData>
    <row r="1" spans="2:34" ht="21" x14ac:dyDescent="0.35">
      <c r="B1" s="60" t="s">
        <v>96</v>
      </c>
      <c r="C1" s="61"/>
      <c r="J1" s="54" t="s">
        <v>84</v>
      </c>
      <c r="K1" s="60" t="s">
        <v>94</v>
      </c>
      <c r="L1" s="61"/>
      <c r="S1" s="54" t="s">
        <v>84</v>
      </c>
      <c r="T1" s="62" t="s">
        <v>97</v>
      </c>
      <c r="U1" s="63"/>
      <c r="AD1" s="1" t="s">
        <v>0</v>
      </c>
      <c r="AE1" s="1" t="s">
        <v>1</v>
      </c>
      <c r="AG1" s="2" t="s">
        <v>2</v>
      </c>
    </row>
    <row r="2" spans="2:34" x14ac:dyDescent="0.35">
      <c r="J2" s="54" t="s">
        <v>84</v>
      </c>
      <c r="S2" s="54" t="s">
        <v>84</v>
      </c>
      <c r="AD2" s="51">
        <v>45292</v>
      </c>
      <c r="AE2" s="51">
        <f>EOMONTH(AD2,0)</f>
        <v>45322</v>
      </c>
      <c r="AG2" s="50" t="s">
        <v>87</v>
      </c>
      <c r="AH2" s="55" t="s">
        <v>3</v>
      </c>
    </row>
    <row r="3" spans="2:34" ht="18" customHeight="1" x14ac:dyDescent="0.35">
      <c r="B3" s="160" t="s">
        <v>4</v>
      </c>
      <c r="C3" s="160"/>
      <c r="D3" s="161" t="s">
        <v>5</v>
      </c>
      <c r="E3" s="161"/>
      <c r="J3" s="54" t="s">
        <v>84</v>
      </c>
      <c r="K3" s="160" t="s">
        <v>4</v>
      </c>
      <c r="L3" s="160"/>
      <c r="M3" s="161" t="s">
        <v>5</v>
      </c>
      <c r="N3" s="161"/>
      <c r="S3" s="54" t="s">
        <v>84</v>
      </c>
      <c r="T3" s="160" t="s">
        <v>4</v>
      </c>
      <c r="U3" s="160"/>
      <c r="V3" s="161" t="s">
        <v>5</v>
      </c>
      <c r="W3" s="161"/>
      <c r="AD3" s="51">
        <f>EDATE(AD2,1)</f>
        <v>45323</v>
      </c>
      <c r="AE3" s="51">
        <f t="shared" ref="AE3:AE25" si="0">EOMONTH(AD3,0)</f>
        <v>45351</v>
      </c>
      <c r="AG3" s="3" t="s">
        <v>6</v>
      </c>
    </row>
    <row r="4" spans="2:34" ht="17.5" customHeight="1" x14ac:dyDescent="0.35">
      <c r="B4" s="160"/>
      <c r="C4" s="160"/>
      <c r="D4" s="4" t="s">
        <v>7</v>
      </c>
      <c r="E4" s="4" t="s">
        <v>8</v>
      </c>
      <c r="J4" s="54" t="s">
        <v>84</v>
      </c>
      <c r="K4" s="160"/>
      <c r="L4" s="160"/>
      <c r="M4" s="4" t="s">
        <v>7</v>
      </c>
      <c r="N4" s="4" t="s">
        <v>8</v>
      </c>
      <c r="S4" s="54" t="s">
        <v>84</v>
      </c>
      <c r="T4" s="160"/>
      <c r="U4" s="160"/>
      <c r="V4" s="4" t="s">
        <v>7</v>
      </c>
      <c r="W4" s="4" t="s">
        <v>8</v>
      </c>
      <c r="AD4" s="51">
        <f t="shared" ref="AD4:AD50" si="1">EDATE(AD3,1)</f>
        <v>45352</v>
      </c>
      <c r="AE4" s="51">
        <f t="shared" si="0"/>
        <v>45382</v>
      </c>
      <c r="AG4" s="3" t="s">
        <v>9</v>
      </c>
    </row>
    <row r="5" spans="2:34" x14ac:dyDescent="0.35">
      <c r="B5" s="5" t="s">
        <v>10</v>
      </c>
      <c r="C5" s="6" t="s">
        <v>11</v>
      </c>
      <c r="D5" s="7">
        <v>95</v>
      </c>
      <c r="E5" s="8">
        <v>100</v>
      </c>
      <c r="J5" s="54" t="s">
        <v>84</v>
      </c>
      <c r="K5" s="5" t="s">
        <v>10</v>
      </c>
      <c r="L5" s="6" t="s">
        <v>11</v>
      </c>
      <c r="M5" s="7">
        <v>95</v>
      </c>
      <c r="N5" s="8">
        <v>100</v>
      </c>
      <c r="S5" s="54" t="s">
        <v>84</v>
      </c>
      <c r="T5" s="5" t="s">
        <v>10</v>
      </c>
      <c r="U5" s="6" t="s">
        <v>11</v>
      </c>
      <c r="V5" s="7">
        <v>95</v>
      </c>
      <c r="W5" s="8">
        <v>100</v>
      </c>
      <c r="AD5" s="51">
        <f t="shared" si="1"/>
        <v>45383</v>
      </c>
      <c r="AE5" s="51">
        <f t="shared" si="0"/>
        <v>45412</v>
      </c>
      <c r="AG5" s="3" t="s">
        <v>12</v>
      </c>
    </row>
    <row r="6" spans="2:34" x14ac:dyDescent="0.35">
      <c r="B6" s="9" t="s">
        <v>13</v>
      </c>
      <c r="C6" s="10" t="s">
        <v>14</v>
      </c>
      <c r="D6" s="7">
        <v>80</v>
      </c>
      <c r="E6" s="8">
        <f>D5</f>
        <v>95</v>
      </c>
      <c r="J6" s="54" t="s">
        <v>84</v>
      </c>
      <c r="K6" s="9" t="s">
        <v>13</v>
      </c>
      <c r="L6" s="10" t="s">
        <v>14</v>
      </c>
      <c r="M6" s="7">
        <v>80</v>
      </c>
      <c r="N6" s="8">
        <f>M5</f>
        <v>95</v>
      </c>
      <c r="S6" s="54" t="s">
        <v>84</v>
      </c>
      <c r="T6" s="9" t="s">
        <v>13</v>
      </c>
      <c r="U6" s="10" t="s">
        <v>14</v>
      </c>
      <c r="V6" s="7">
        <v>80</v>
      </c>
      <c r="W6" s="8">
        <f>V5</f>
        <v>95</v>
      </c>
      <c r="AD6" s="51">
        <f t="shared" si="1"/>
        <v>45413</v>
      </c>
      <c r="AE6" s="51">
        <f t="shared" si="0"/>
        <v>45443</v>
      </c>
      <c r="AG6" s="3" t="s">
        <v>15</v>
      </c>
    </row>
    <row r="7" spans="2:34" x14ac:dyDescent="0.35">
      <c r="B7" s="11" t="s">
        <v>16</v>
      </c>
      <c r="C7" s="12" t="s">
        <v>17</v>
      </c>
      <c r="D7" s="7">
        <v>60</v>
      </c>
      <c r="E7" s="8">
        <f>D6</f>
        <v>80</v>
      </c>
      <c r="J7" s="54" t="s">
        <v>84</v>
      </c>
      <c r="K7" s="11" t="s">
        <v>16</v>
      </c>
      <c r="L7" s="12" t="s">
        <v>17</v>
      </c>
      <c r="M7" s="7">
        <v>60</v>
      </c>
      <c r="N7" s="8">
        <f>M6</f>
        <v>80</v>
      </c>
      <c r="S7" s="54" t="s">
        <v>84</v>
      </c>
      <c r="T7" s="11" t="s">
        <v>16</v>
      </c>
      <c r="U7" s="12" t="s">
        <v>17</v>
      </c>
      <c r="V7" s="7">
        <v>60</v>
      </c>
      <c r="W7" s="8">
        <f>V6</f>
        <v>80</v>
      </c>
      <c r="AD7" s="51">
        <f t="shared" si="1"/>
        <v>45444</v>
      </c>
      <c r="AE7" s="51">
        <f t="shared" si="0"/>
        <v>45473</v>
      </c>
      <c r="AG7" s="3" t="s">
        <v>18</v>
      </c>
    </row>
    <row r="8" spans="2:34" x14ac:dyDescent="0.35">
      <c r="B8" s="13" t="s">
        <v>19</v>
      </c>
      <c r="C8" s="14" t="s">
        <v>20</v>
      </c>
      <c r="D8" s="7">
        <v>-100</v>
      </c>
      <c r="E8" s="8">
        <f>D7</f>
        <v>60</v>
      </c>
      <c r="J8" s="54" t="s">
        <v>84</v>
      </c>
      <c r="K8" s="13" t="s">
        <v>19</v>
      </c>
      <c r="L8" s="14" t="s">
        <v>20</v>
      </c>
      <c r="M8" s="7">
        <v>-100</v>
      </c>
      <c r="N8" s="8">
        <f>M7</f>
        <v>60</v>
      </c>
      <c r="S8" s="54" t="s">
        <v>84</v>
      </c>
      <c r="T8" s="13" t="s">
        <v>19</v>
      </c>
      <c r="U8" s="14" t="s">
        <v>20</v>
      </c>
      <c r="V8" s="7">
        <v>-100</v>
      </c>
      <c r="W8" s="8">
        <f>V7</f>
        <v>60</v>
      </c>
      <c r="AD8" s="51">
        <f t="shared" si="1"/>
        <v>45474</v>
      </c>
      <c r="AE8" s="51">
        <f t="shared" si="0"/>
        <v>45504</v>
      </c>
      <c r="AG8" s="15" t="s">
        <v>21</v>
      </c>
    </row>
    <row r="9" spans="2:34" x14ac:dyDescent="0.35">
      <c r="J9" s="54" t="s">
        <v>84</v>
      </c>
      <c r="S9" s="54" t="s">
        <v>84</v>
      </c>
      <c r="AD9" s="51">
        <f t="shared" si="1"/>
        <v>45505</v>
      </c>
      <c r="AE9" s="51">
        <f t="shared" si="0"/>
        <v>45535</v>
      </c>
      <c r="AG9" s="3" t="s">
        <v>22</v>
      </c>
    </row>
    <row r="10" spans="2:34" ht="36" customHeight="1" x14ac:dyDescent="0.35">
      <c r="B10" s="162" t="s">
        <v>23</v>
      </c>
      <c r="C10" s="162"/>
      <c r="D10" s="16" t="s">
        <v>24</v>
      </c>
      <c r="E10" s="16" t="s">
        <v>25</v>
      </c>
      <c r="J10" s="54" t="s">
        <v>84</v>
      </c>
      <c r="K10" s="162" t="s">
        <v>23</v>
      </c>
      <c r="L10" s="162"/>
      <c r="M10" s="16" t="s">
        <v>24</v>
      </c>
      <c r="N10" s="16" t="s">
        <v>25</v>
      </c>
      <c r="S10" s="54" t="s">
        <v>84</v>
      </c>
      <c r="T10" s="162" t="s">
        <v>23</v>
      </c>
      <c r="U10" s="162"/>
      <c r="V10" s="16" t="s">
        <v>24</v>
      </c>
      <c r="W10" s="16" t="s">
        <v>25</v>
      </c>
      <c r="AD10" s="51">
        <f t="shared" si="1"/>
        <v>45536</v>
      </c>
      <c r="AE10" s="51">
        <f t="shared" si="0"/>
        <v>45565</v>
      </c>
      <c r="AG10" s="53" t="s">
        <v>93</v>
      </c>
    </row>
    <row r="11" spans="2:34" x14ac:dyDescent="0.35">
      <c r="B11" s="163" t="s">
        <v>27</v>
      </c>
      <c r="C11" s="163"/>
      <c r="D11" s="17">
        <v>60</v>
      </c>
      <c r="E11" s="17">
        <v>70</v>
      </c>
      <c r="J11" s="54" t="s">
        <v>84</v>
      </c>
      <c r="K11" s="163" t="s">
        <v>27</v>
      </c>
      <c r="L11" s="163"/>
      <c r="M11" s="17">
        <v>80</v>
      </c>
      <c r="N11" s="17">
        <v>80</v>
      </c>
      <c r="S11" s="54" t="s">
        <v>84</v>
      </c>
      <c r="T11" s="163" t="s">
        <v>27</v>
      </c>
      <c r="U11" s="163"/>
      <c r="V11" s="17">
        <v>60</v>
      </c>
      <c r="W11" s="17">
        <v>70</v>
      </c>
      <c r="AD11" s="51">
        <f t="shared" si="1"/>
        <v>45566</v>
      </c>
      <c r="AE11" s="51">
        <f t="shared" si="0"/>
        <v>45596</v>
      </c>
      <c r="AG11" s="3" t="s">
        <v>26</v>
      </c>
    </row>
    <row r="12" spans="2:34" x14ac:dyDescent="0.35">
      <c r="B12" s="163" t="s">
        <v>29</v>
      </c>
      <c r="C12" s="163"/>
      <c r="D12" s="19">
        <v>20</v>
      </c>
      <c r="E12" s="19">
        <v>30</v>
      </c>
      <c r="J12" s="54" t="s">
        <v>84</v>
      </c>
      <c r="K12" s="163" t="s">
        <v>29</v>
      </c>
      <c r="L12" s="163"/>
      <c r="M12" s="19">
        <v>20</v>
      </c>
      <c r="N12" s="19">
        <v>20</v>
      </c>
      <c r="S12" s="54" t="s">
        <v>84</v>
      </c>
      <c r="T12" s="163" t="s">
        <v>29</v>
      </c>
      <c r="U12" s="163"/>
      <c r="V12" s="19">
        <v>20</v>
      </c>
      <c r="W12" s="19">
        <v>30</v>
      </c>
      <c r="AD12" s="51">
        <f t="shared" si="1"/>
        <v>45597</v>
      </c>
      <c r="AE12" s="51">
        <f t="shared" si="0"/>
        <v>45626</v>
      </c>
      <c r="AG12" s="18" t="s">
        <v>28</v>
      </c>
    </row>
    <row r="13" spans="2:34" x14ac:dyDescent="0.35">
      <c r="B13" s="154" t="s">
        <v>31</v>
      </c>
      <c r="C13" s="154"/>
      <c r="D13" s="7">
        <v>20</v>
      </c>
      <c r="E13" s="20">
        <v>-5</v>
      </c>
      <c r="J13" s="54" t="s">
        <v>84</v>
      </c>
      <c r="K13" s="154" t="s">
        <v>31</v>
      </c>
      <c r="L13" s="154"/>
      <c r="M13" s="20">
        <v>-5</v>
      </c>
      <c r="N13" s="20">
        <v>-5</v>
      </c>
      <c r="S13" s="54" t="s">
        <v>84</v>
      </c>
      <c r="T13" s="154" t="s">
        <v>98</v>
      </c>
      <c r="U13" s="154"/>
      <c r="V13" s="7">
        <v>20</v>
      </c>
      <c r="W13" s="20">
        <v>-5</v>
      </c>
      <c r="AD13" s="51">
        <f t="shared" si="1"/>
        <v>45627</v>
      </c>
      <c r="AE13" s="51">
        <f t="shared" si="0"/>
        <v>45657</v>
      </c>
      <c r="AG13" s="3" t="s">
        <v>30</v>
      </c>
    </row>
    <row r="14" spans="2:34" x14ac:dyDescent="0.35">
      <c r="B14" s="155" t="s">
        <v>33</v>
      </c>
      <c r="C14" s="155"/>
      <c r="D14" s="21">
        <f>SUM(D11:D13)</f>
        <v>100</v>
      </c>
      <c r="E14" s="21">
        <f>E11+E12</f>
        <v>100</v>
      </c>
      <c r="J14" s="54" t="s">
        <v>84</v>
      </c>
      <c r="K14" s="155" t="s">
        <v>33</v>
      </c>
      <c r="L14" s="155"/>
      <c r="M14" s="21">
        <f>M11+M12</f>
        <v>100</v>
      </c>
      <c r="N14" s="21">
        <f>N11+N12</f>
        <v>100</v>
      </c>
      <c r="S14" s="54" t="s">
        <v>84</v>
      </c>
      <c r="T14" s="155" t="s">
        <v>33</v>
      </c>
      <c r="U14" s="155"/>
      <c r="V14" s="21">
        <f>SUM(V11:V13)</f>
        <v>100</v>
      </c>
      <c r="W14" s="21">
        <f>W11+W12</f>
        <v>100</v>
      </c>
      <c r="AD14" s="51">
        <f t="shared" si="1"/>
        <v>45658</v>
      </c>
      <c r="AE14" s="51">
        <f t="shared" si="0"/>
        <v>45688</v>
      </c>
      <c r="AG14" s="3" t="s">
        <v>32</v>
      </c>
    </row>
    <row r="15" spans="2:34" ht="15" thickBot="1" x14ac:dyDescent="0.4">
      <c r="J15" s="54" t="s">
        <v>84</v>
      </c>
      <c r="S15" s="54" t="s">
        <v>84</v>
      </c>
      <c r="AD15" s="51">
        <f t="shared" si="1"/>
        <v>45689</v>
      </c>
      <c r="AE15" s="51">
        <f t="shared" si="0"/>
        <v>45716</v>
      </c>
      <c r="AG15" s="3" t="s">
        <v>34</v>
      </c>
    </row>
    <row r="16" spans="2:34" ht="36" customHeight="1" x14ac:dyDescent="0.35">
      <c r="B16" s="156" t="s">
        <v>36</v>
      </c>
      <c r="C16" s="157"/>
      <c r="D16" s="158" t="s">
        <v>37</v>
      </c>
      <c r="E16" s="159"/>
      <c r="F16" s="158" t="s">
        <v>38</v>
      </c>
      <c r="G16" s="159"/>
      <c r="J16" s="54" t="s">
        <v>84</v>
      </c>
      <c r="K16" s="156" t="s">
        <v>36</v>
      </c>
      <c r="L16" s="157"/>
      <c r="M16" s="158" t="s">
        <v>37</v>
      </c>
      <c r="N16" s="159"/>
      <c r="O16" s="158" t="s">
        <v>38</v>
      </c>
      <c r="P16" s="159"/>
      <c r="S16" s="54" t="s">
        <v>84</v>
      </c>
      <c r="T16" s="156" t="s">
        <v>36</v>
      </c>
      <c r="U16" s="157"/>
      <c r="V16" s="158" t="s">
        <v>37</v>
      </c>
      <c r="W16" s="159"/>
      <c r="X16" s="158" t="s">
        <v>38</v>
      </c>
      <c r="Y16" s="159"/>
      <c r="AD16" s="51">
        <f t="shared" si="1"/>
        <v>45717</v>
      </c>
      <c r="AE16" s="51">
        <f t="shared" si="0"/>
        <v>45747</v>
      </c>
      <c r="AG16" s="3" t="s">
        <v>35</v>
      </c>
    </row>
    <row r="17" spans="2:33" x14ac:dyDescent="0.35">
      <c r="B17" s="22" t="s">
        <v>40</v>
      </c>
      <c r="C17" s="23" t="s">
        <v>41</v>
      </c>
      <c r="D17" s="24" t="s">
        <v>0</v>
      </c>
      <c r="E17" s="25" t="s">
        <v>1</v>
      </c>
      <c r="F17" s="24" t="s">
        <v>0</v>
      </c>
      <c r="G17" s="25" t="s">
        <v>1</v>
      </c>
      <c r="J17" s="54" t="s">
        <v>84</v>
      </c>
      <c r="K17" s="22" t="s">
        <v>40</v>
      </c>
      <c r="L17" s="23" t="s">
        <v>41</v>
      </c>
      <c r="M17" s="24" t="s">
        <v>0</v>
      </c>
      <c r="N17" s="25" t="s">
        <v>1</v>
      </c>
      <c r="O17" s="24" t="s">
        <v>0</v>
      </c>
      <c r="P17" s="25" t="s">
        <v>1</v>
      </c>
      <c r="S17" s="54" t="s">
        <v>84</v>
      </c>
      <c r="T17" s="22" t="s">
        <v>40</v>
      </c>
      <c r="U17" s="23" t="s">
        <v>41</v>
      </c>
      <c r="V17" s="24" t="s">
        <v>0</v>
      </c>
      <c r="W17" s="25" t="s">
        <v>1</v>
      </c>
      <c r="X17" s="24" t="s">
        <v>0</v>
      </c>
      <c r="Y17" s="25" t="s">
        <v>1</v>
      </c>
      <c r="AD17" s="51">
        <f t="shared" si="1"/>
        <v>45748</v>
      </c>
      <c r="AE17" s="51">
        <f t="shared" si="0"/>
        <v>45777</v>
      </c>
      <c r="AG17" s="3" t="s">
        <v>39</v>
      </c>
    </row>
    <row r="18" spans="2:33" x14ac:dyDescent="0.35">
      <c r="B18" s="26">
        <v>1.5</v>
      </c>
      <c r="C18" s="27">
        <v>1000</v>
      </c>
      <c r="D18" s="28">
        <f>D11</f>
        <v>60</v>
      </c>
      <c r="E18" s="29">
        <f>D11</f>
        <v>60</v>
      </c>
      <c r="F18" s="28">
        <f>E11</f>
        <v>70</v>
      </c>
      <c r="G18" s="29">
        <f>E11</f>
        <v>70</v>
      </c>
      <c r="J18" s="54" t="s">
        <v>84</v>
      </c>
      <c r="K18" s="26">
        <v>1.3</v>
      </c>
      <c r="L18" s="27">
        <v>1000</v>
      </c>
      <c r="M18" s="28">
        <f>M11</f>
        <v>80</v>
      </c>
      <c r="N18" s="29">
        <f>M11</f>
        <v>80</v>
      </c>
      <c r="O18" s="28">
        <f>N11</f>
        <v>80</v>
      </c>
      <c r="P18" s="29">
        <f>N11</f>
        <v>80</v>
      </c>
      <c r="S18" s="54" t="s">
        <v>84</v>
      </c>
      <c r="T18" s="26">
        <v>1.5</v>
      </c>
      <c r="U18" s="27">
        <v>1000</v>
      </c>
      <c r="V18" s="28">
        <f>V11</f>
        <v>60</v>
      </c>
      <c r="W18" s="29">
        <f>V11</f>
        <v>60</v>
      </c>
      <c r="X18" s="28">
        <f>W11</f>
        <v>70</v>
      </c>
      <c r="Y18" s="29">
        <f>W11</f>
        <v>70</v>
      </c>
      <c r="AD18" s="51">
        <f t="shared" si="1"/>
        <v>45778</v>
      </c>
      <c r="AE18" s="51">
        <f t="shared" si="0"/>
        <v>45808</v>
      </c>
      <c r="AG18" s="3" t="s">
        <v>42</v>
      </c>
    </row>
    <row r="19" spans="2:33" x14ac:dyDescent="0.35">
      <c r="B19" s="26">
        <v>1.25</v>
      </c>
      <c r="C19" s="30">
        <f>B18</f>
        <v>1.5</v>
      </c>
      <c r="D19" s="31">
        <v>55</v>
      </c>
      <c r="E19" s="29">
        <f>D18-0.01</f>
        <v>59.99</v>
      </c>
      <c r="F19" s="31">
        <v>65</v>
      </c>
      <c r="G19" s="29">
        <f>F18-0.01</f>
        <v>69.989999999999995</v>
      </c>
      <c r="J19" s="54" t="s">
        <v>84</v>
      </c>
      <c r="K19" s="26">
        <v>1.1000000000000001</v>
      </c>
      <c r="L19" s="30">
        <f>K18</f>
        <v>1.3</v>
      </c>
      <c r="M19" s="31">
        <f>F19+10</f>
        <v>75</v>
      </c>
      <c r="N19" s="29">
        <f>M18-0.01</f>
        <v>79.989999999999995</v>
      </c>
      <c r="O19" s="31">
        <v>75</v>
      </c>
      <c r="P19" s="29">
        <f>O18-0.01</f>
        <v>79.989999999999995</v>
      </c>
      <c r="Q19" s="59"/>
      <c r="S19" s="54" t="s">
        <v>84</v>
      </c>
      <c r="T19" s="26">
        <v>1.25</v>
      </c>
      <c r="U19" s="30">
        <f>T18</f>
        <v>1.5</v>
      </c>
      <c r="V19" s="31">
        <v>55</v>
      </c>
      <c r="W19" s="29">
        <f>V18-0.01</f>
        <v>59.99</v>
      </c>
      <c r="X19" s="31">
        <v>65</v>
      </c>
      <c r="Y19" s="29">
        <f>X18-0.01</f>
        <v>69.989999999999995</v>
      </c>
      <c r="AD19" s="51">
        <f t="shared" si="1"/>
        <v>45809</v>
      </c>
      <c r="AE19" s="51">
        <f t="shared" si="0"/>
        <v>45838</v>
      </c>
      <c r="AG19" s="3" t="s">
        <v>43</v>
      </c>
    </row>
    <row r="20" spans="2:33" x14ac:dyDescent="0.35">
      <c r="B20" s="26">
        <v>1</v>
      </c>
      <c r="C20" s="30">
        <f>B19</f>
        <v>1.25</v>
      </c>
      <c r="D20" s="31">
        <v>50</v>
      </c>
      <c r="E20" s="29">
        <f t="shared" ref="E20:E21" si="2">D19-0.01</f>
        <v>54.99</v>
      </c>
      <c r="F20" s="31">
        <v>60</v>
      </c>
      <c r="G20" s="29">
        <f t="shared" ref="G20:G21" si="3">F19-0.01</f>
        <v>64.989999999999995</v>
      </c>
      <c r="J20" s="54" t="s">
        <v>84</v>
      </c>
      <c r="K20" s="26">
        <v>0.9</v>
      </c>
      <c r="L20" s="30">
        <f>K19</f>
        <v>1.1000000000000001</v>
      </c>
      <c r="M20" s="31">
        <f>F20+10</f>
        <v>70</v>
      </c>
      <c r="N20" s="29">
        <f t="shared" ref="N20:N21" si="4">M19-0.01</f>
        <v>74.989999999999995</v>
      </c>
      <c r="O20" s="31">
        <v>70</v>
      </c>
      <c r="P20" s="29">
        <f t="shared" ref="P20:P21" si="5">O19-0.01</f>
        <v>74.989999999999995</v>
      </c>
      <c r="Q20" s="59"/>
      <c r="S20" s="54" t="s">
        <v>84</v>
      </c>
      <c r="T20" s="26">
        <v>1</v>
      </c>
      <c r="U20" s="30">
        <f>T19</f>
        <v>1.25</v>
      </c>
      <c r="V20" s="31">
        <v>50</v>
      </c>
      <c r="W20" s="29">
        <f t="shared" ref="W20:W21" si="6">V19-0.01</f>
        <v>54.99</v>
      </c>
      <c r="X20" s="31">
        <v>60</v>
      </c>
      <c r="Y20" s="29">
        <f t="shared" ref="Y20:Y21" si="7">X19-0.01</f>
        <v>64.989999999999995</v>
      </c>
      <c r="AD20" s="51">
        <f t="shared" si="1"/>
        <v>45839</v>
      </c>
      <c r="AE20" s="51">
        <f t="shared" si="0"/>
        <v>45869</v>
      </c>
      <c r="AG20" s="3" t="s">
        <v>44</v>
      </c>
    </row>
    <row r="21" spans="2:33" ht="15" thickBot="1" x14ac:dyDescent="0.4">
      <c r="B21" s="32">
        <v>0</v>
      </c>
      <c r="C21" s="33">
        <f>B20</f>
        <v>1</v>
      </c>
      <c r="D21" s="34">
        <v>0.01</v>
      </c>
      <c r="E21" s="35">
        <f t="shared" si="2"/>
        <v>49.99</v>
      </c>
      <c r="F21" s="34">
        <v>0.01</v>
      </c>
      <c r="G21" s="35">
        <f t="shared" si="3"/>
        <v>59.99</v>
      </c>
      <c r="J21" s="54" t="s">
        <v>84</v>
      </c>
      <c r="K21" s="32">
        <v>0</v>
      </c>
      <c r="L21" s="33">
        <f>K20</f>
        <v>0.9</v>
      </c>
      <c r="M21" s="34">
        <v>0.01</v>
      </c>
      <c r="N21" s="35">
        <f t="shared" si="4"/>
        <v>69.989999999999995</v>
      </c>
      <c r="O21" s="34">
        <v>0.01</v>
      </c>
      <c r="P21" s="35">
        <f t="shared" si="5"/>
        <v>69.989999999999995</v>
      </c>
      <c r="Q21" s="59"/>
      <c r="S21" s="54" t="s">
        <v>84</v>
      </c>
      <c r="T21" s="32">
        <v>0</v>
      </c>
      <c r="U21" s="33">
        <f>T20</f>
        <v>1</v>
      </c>
      <c r="V21" s="34">
        <v>0.01</v>
      </c>
      <c r="W21" s="35">
        <f t="shared" si="6"/>
        <v>49.99</v>
      </c>
      <c r="X21" s="34">
        <v>0.01</v>
      </c>
      <c r="Y21" s="35">
        <f t="shared" si="7"/>
        <v>59.99</v>
      </c>
      <c r="AD21" s="51">
        <f t="shared" si="1"/>
        <v>45870</v>
      </c>
      <c r="AE21" s="51">
        <f t="shared" si="0"/>
        <v>45900</v>
      </c>
      <c r="AG21" s="3" t="s">
        <v>45</v>
      </c>
    </row>
    <row r="22" spans="2:33" ht="15" thickBot="1" x14ac:dyDescent="0.4">
      <c r="J22" s="54" t="s">
        <v>84</v>
      </c>
      <c r="S22" s="54" t="s">
        <v>84</v>
      </c>
      <c r="AD22" s="51">
        <f t="shared" si="1"/>
        <v>45901</v>
      </c>
      <c r="AE22" s="51">
        <f t="shared" si="0"/>
        <v>45930</v>
      </c>
      <c r="AG22" s="3" t="s">
        <v>46</v>
      </c>
    </row>
    <row r="23" spans="2:33" x14ac:dyDescent="0.35">
      <c r="B23" s="148" t="s">
        <v>48</v>
      </c>
      <c r="C23" s="149"/>
      <c r="D23" s="152" t="s">
        <v>49</v>
      </c>
      <c r="E23" s="153"/>
      <c r="F23" s="152" t="s">
        <v>50</v>
      </c>
      <c r="G23" s="153"/>
      <c r="J23" s="54" t="s">
        <v>84</v>
      </c>
      <c r="K23" s="148" t="s">
        <v>48</v>
      </c>
      <c r="L23" s="149"/>
      <c r="M23" s="152" t="s">
        <v>49</v>
      </c>
      <c r="N23" s="153"/>
      <c r="O23" s="152" t="s">
        <v>50</v>
      </c>
      <c r="P23" s="153"/>
      <c r="S23" s="54" t="s">
        <v>84</v>
      </c>
      <c r="T23" s="148" t="s">
        <v>48</v>
      </c>
      <c r="U23" s="149"/>
      <c r="V23" s="152" t="s">
        <v>49</v>
      </c>
      <c r="W23" s="153"/>
      <c r="X23" s="152" t="s">
        <v>50</v>
      </c>
      <c r="Y23" s="153"/>
      <c r="AD23" s="51">
        <f t="shared" si="1"/>
        <v>45931</v>
      </c>
      <c r="AE23" s="51">
        <f t="shared" si="0"/>
        <v>45961</v>
      </c>
      <c r="AG23" s="3" t="s">
        <v>47</v>
      </c>
    </row>
    <row r="24" spans="2:33" ht="29" x14ac:dyDescent="0.35">
      <c r="B24" s="150"/>
      <c r="C24" s="151"/>
      <c r="D24" s="36" t="s">
        <v>52</v>
      </c>
      <c r="E24" s="37" t="s">
        <v>53</v>
      </c>
      <c r="F24" s="36" t="s">
        <v>52</v>
      </c>
      <c r="G24" s="37" t="s">
        <v>53</v>
      </c>
      <c r="J24" s="54" t="s">
        <v>84</v>
      </c>
      <c r="K24" s="150"/>
      <c r="L24" s="151"/>
      <c r="M24" s="36" t="s">
        <v>52</v>
      </c>
      <c r="N24" s="37" t="s">
        <v>53</v>
      </c>
      <c r="O24" s="36" t="s">
        <v>52</v>
      </c>
      <c r="P24" s="37" t="s">
        <v>53</v>
      </c>
      <c r="S24" s="54" t="s">
        <v>84</v>
      </c>
      <c r="T24" s="150"/>
      <c r="U24" s="151"/>
      <c r="V24" s="36" t="s">
        <v>52</v>
      </c>
      <c r="W24" s="37" t="s">
        <v>53</v>
      </c>
      <c r="X24" s="36" t="s">
        <v>52</v>
      </c>
      <c r="Y24" s="37" t="s">
        <v>53</v>
      </c>
      <c r="AD24" s="51">
        <f t="shared" si="1"/>
        <v>45962</v>
      </c>
      <c r="AE24" s="51">
        <f t="shared" si="0"/>
        <v>45991</v>
      </c>
      <c r="AG24" s="3" t="s">
        <v>51</v>
      </c>
    </row>
    <row r="25" spans="2:33" x14ac:dyDescent="0.35">
      <c r="B25" s="146" t="s">
        <v>55</v>
      </c>
      <c r="C25" s="147"/>
      <c r="D25" s="38">
        <v>0.01</v>
      </c>
      <c r="E25" s="39">
        <f>D13</f>
        <v>20</v>
      </c>
      <c r="F25" s="38">
        <v>0</v>
      </c>
      <c r="G25" s="39">
        <v>0</v>
      </c>
      <c r="J25" s="54" t="s">
        <v>84</v>
      </c>
      <c r="K25" s="146" t="s">
        <v>55</v>
      </c>
      <c r="L25" s="147"/>
      <c r="M25" s="38">
        <v>0.03</v>
      </c>
      <c r="N25" s="39">
        <v>0</v>
      </c>
      <c r="O25" s="38">
        <v>0</v>
      </c>
      <c r="P25" s="39">
        <v>0</v>
      </c>
      <c r="S25" s="54" t="s">
        <v>84</v>
      </c>
      <c r="T25" s="146" t="s">
        <v>55</v>
      </c>
      <c r="U25" s="147"/>
      <c r="V25" s="38">
        <v>0.03</v>
      </c>
      <c r="W25" s="39">
        <f>V13</f>
        <v>20</v>
      </c>
      <c r="X25" s="38">
        <v>0</v>
      </c>
      <c r="Y25" s="39">
        <v>0</v>
      </c>
      <c r="AD25" s="51">
        <f t="shared" si="1"/>
        <v>45992</v>
      </c>
      <c r="AE25" s="51">
        <f t="shared" si="0"/>
        <v>46022</v>
      </c>
      <c r="AG25" s="3" t="s">
        <v>54</v>
      </c>
    </row>
    <row r="26" spans="2:33" x14ac:dyDescent="0.35">
      <c r="B26" s="146" t="s">
        <v>57</v>
      </c>
      <c r="C26" s="147"/>
      <c r="D26" s="38">
        <v>0.1</v>
      </c>
      <c r="E26" s="39">
        <v>0</v>
      </c>
      <c r="F26" s="38">
        <v>0</v>
      </c>
      <c r="G26" s="40">
        <v>-5</v>
      </c>
      <c r="J26" s="54" t="s">
        <v>84</v>
      </c>
      <c r="K26" s="146" t="s">
        <v>95</v>
      </c>
      <c r="L26" s="147"/>
      <c r="M26" s="38">
        <v>0.03</v>
      </c>
      <c r="N26" s="40">
        <v>-5</v>
      </c>
      <c r="O26" s="38">
        <v>0</v>
      </c>
      <c r="P26" s="40">
        <v>-5</v>
      </c>
      <c r="S26" s="54" t="s">
        <v>84</v>
      </c>
      <c r="T26" s="146" t="s">
        <v>57</v>
      </c>
      <c r="U26" s="147"/>
      <c r="V26" s="38">
        <v>0.15</v>
      </c>
      <c r="W26" s="39">
        <v>0</v>
      </c>
      <c r="X26" s="38">
        <v>0</v>
      </c>
      <c r="Y26" s="40">
        <v>-5</v>
      </c>
      <c r="AD26" s="51">
        <f t="shared" si="1"/>
        <v>46023</v>
      </c>
      <c r="AE26" s="51">
        <f t="shared" ref="AE26:AE40" si="8">EOMONTH(AD26,0)</f>
        <v>46053</v>
      </c>
      <c r="AG26" s="3" t="s">
        <v>56</v>
      </c>
    </row>
    <row r="27" spans="2:33" ht="44" thickBot="1" x14ac:dyDescent="0.4">
      <c r="B27" s="138" t="s">
        <v>48</v>
      </c>
      <c r="C27" s="139"/>
      <c r="D27" s="41" t="s">
        <v>92</v>
      </c>
      <c r="E27" s="42" t="s">
        <v>59</v>
      </c>
      <c r="F27" s="41"/>
      <c r="G27" s="42"/>
      <c r="J27" s="54" t="s">
        <v>84</v>
      </c>
      <c r="K27" s="164" t="s">
        <v>48</v>
      </c>
      <c r="L27" s="165"/>
      <c r="M27" s="57" t="s">
        <v>92</v>
      </c>
      <c r="N27" s="58" t="s">
        <v>59</v>
      </c>
      <c r="O27" s="57"/>
      <c r="P27" s="58"/>
      <c r="S27" s="54" t="s">
        <v>84</v>
      </c>
      <c r="T27" s="138" t="s">
        <v>48</v>
      </c>
      <c r="U27" s="139"/>
      <c r="V27" s="41" t="s">
        <v>99</v>
      </c>
      <c r="W27" s="42" t="s">
        <v>59</v>
      </c>
      <c r="X27" s="41"/>
      <c r="Y27" s="42"/>
      <c r="AD27" s="51">
        <f t="shared" si="1"/>
        <v>46054</v>
      </c>
      <c r="AE27" s="51">
        <f t="shared" si="8"/>
        <v>46081</v>
      </c>
      <c r="AG27" s="18" t="s">
        <v>58</v>
      </c>
    </row>
    <row r="28" spans="2:33" ht="15" thickBot="1" x14ac:dyDescent="0.4">
      <c r="J28" s="54" t="s">
        <v>84</v>
      </c>
      <c r="S28" s="54" t="s">
        <v>84</v>
      </c>
      <c r="AD28" s="51">
        <f t="shared" si="1"/>
        <v>46082</v>
      </c>
      <c r="AE28" s="51">
        <f t="shared" si="8"/>
        <v>46112</v>
      </c>
      <c r="AG28" s="18" t="s">
        <v>60</v>
      </c>
    </row>
    <row r="29" spans="2:33" ht="20.25" customHeight="1" x14ac:dyDescent="0.35">
      <c r="B29" s="140" t="s">
        <v>62</v>
      </c>
      <c r="C29" s="141"/>
      <c r="D29" s="144" t="s">
        <v>49</v>
      </c>
      <c r="E29" s="145"/>
      <c r="F29" s="144" t="s">
        <v>50</v>
      </c>
      <c r="G29" s="145"/>
      <c r="J29" s="54" t="s">
        <v>84</v>
      </c>
      <c r="K29" s="140" t="s">
        <v>62</v>
      </c>
      <c r="L29" s="141"/>
      <c r="M29" s="144" t="s">
        <v>49</v>
      </c>
      <c r="N29" s="145"/>
      <c r="O29" s="144" t="s">
        <v>50</v>
      </c>
      <c r="P29" s="145"/>
      <c r="S29" s="54" t="s">
        <v>84</v>
      </c>
      <c r="T29" s="140" t="s">
        <v>62</v>
      </c>
      <c r="U29" s="141"/>
      <c r="V29" s="144" t="s">
        <v>49</v>
      </c>
      <c r="W29" s="145"/>
      <c r="X29" s="144" t="s">
        <v>50</v>
      </c>
      <c r="Y29" s="145"/>
      <c r="AD29" s="51">
        <f t="shared" si="1"/>
        <v>46113</v>
      </c>
      <c r="AE29" s="51">
        <f t="shared" si="8"/>
        <v>46142</v>
      </c>
      <c r="AG29" s="18" t="s">
        <v>61</v>
      </c>
    </row>
    <row r="30" spans="2:33" ht="24" customHeight="1" x14ac:dyDescent="0.35">
      <c r="B30" s="142"/>
      <c r="C30" s="143"/>
      <c r="D30" s="43" t="s">
        <v>64</v>
      </c>
      <c r="E30" s="44" t="s">
        <v>53</v>
      </c>
      <c r="F30" s="43" t="s">
        <v>64</v>
      </c>
      <c r="G30" s="44" t="s">
        <v>53</v>
      </c>
      <c r="J30" s="54" t="s">
        <v>84</v>
      </c>
      <c r="K30" s="142"/>
      <c r="L30" s="143"/>
      <c r="M30" s="43" t="s">
        <v>64</v>
      </c>
      <c r="N30" s="44" t="s">
        <v>53</v>
      </c>
      <c r="O30" s="43" t="s">
        <v>64</v>
      </c>
      <c r="P30" s="44" t="s">
        <v>53</v>
      </c>
      <c r="S30" s="54" t="s">
        <v>84</v>
      </c>
      <c r="T30" s="142"/>
      <c r="U30" s="143"/>
      <c r="V30" s="43" t="s">
        <v>64</v>
      </c>
      <c r="W30" s="44" t="s">
        <v>53</v>
      </c>
      <c r="X30" s="43" t="s">
        <v>64</v>
      </c>
      <c r="Y30" s="44" t="s">
        <v>53</v>
      </c>
      <c r="AD30" s="51">
        <f t="shared" si="1"/>
        <v>46143</v>
      </c>
      <c r="AE30" s="51">
        <f t="shared" si="8"/>
        <v>46173</v>
      </c>
      <c r="AG30" s="18" t="s">
        <v>63</v>
      </c>
    </row>
    <row r="31" spans="2:33" x14ac:dyDescent="0.35">
      <c r="B31" s="146" t="s">
        <v>66</v>
      </c>
      <c r="C31" s="147"/>
      <c r="D31" s="64">
        <v>4</v>
      </c>
      <c r="E31" s="39">
        <f>D12</f>
        <v>20</v>
      </c>
      <c r="F31" s="64">
        <v>3</v>
      </c>
      <c r="G31" s="39">
        <f>E12</f>
        <v>30</v>
      </c>
      <c r="J31" s="54" t="s">
        <v>84</v>
      </c>
      <c r="K31" s="146" t="s">
        <v>66</v>
      </c>
      <c r="L31" s="147"/>
      <c r="M31" s="64">
        <v>4</v>
      </c>
      <c r="N31" s="39">
        <f>M12</f>
        <v>20</v>
      </c>
      <c r="O31" s="64">
        <v>3</v>
      </c>
      <c r="P31" s="39">
        <f>N12</f>
        <v>20</v>
      </c>
      <c r="S31" s="54" t="s">
        <v>84</v>
      </c>
      <c r="T31" s="146" t="s">
        <v>66</v>
      </c>
      <c r="U31" s="147"/>
      <c r="V31" s="64">
        <v>2.5</v>
      </c>
      <c r="W31" s="39">
        <f>V12</f>
        <v>20</v>
      </c>
      <c r="X31" s="64">
        <v>3</v>
      </c>
      <c r="Y31" s="39">
        <f>W12</f>
        <v>30</v>
      </c>
      <c r="AD31" s="51">
        <f t="shared" si="1"/>
        <v>46174</v>
      </c>
      <c r="AE31" s="51">
        <f t="shared" si="8"/>
        <v>46203</v>
      </c>
      <c r="AG31" s="18" t="s">
        <v>65</v>
      </c>
    </row>
    <row r="32" spans="2:33" ht="15" thickBot="1" x14ac:dyDescent="0.4">
      <c r="B32" s="138" t="s">
        <v>67</v>
      </c>
      <c r="C32" s="139"/>
      <c r="D32" s="65">
        <v>4</v>
      </c>
      <c r="E32" s="42" t="s">
        <v>68</v>
      </c>
      <c r="F32" s="65">
        <v>3</v>
      </c>
      <c r="G32" s="45" t="s">
        <v>68</v>
      </c>
      <c r="J32" s="54" t="s">
        <v>84</v>
      </c>
      <c r="K32" s="138" t="s">
        <v>67</v>
      </c>
      <c r="L32" s="139"/>
      <c r="M32" s="65">
        <v>4</v>
      </c>
      <c r="N32" s="42" t="s">
        <v>68</v>
      </c>
      <c r="O32" s="65">
        <v>3</v>
      </c>
      <c r="P32" s="45" t="s">
        <v>68</v>
      </c>
      <c r="S32" s="54" t="s">
        <v>84</v>
      </c>
      <c r="T32" s="138" t="s">
        <v>67</v>
      </c>
      <c r="U32" s="139"/>
      <c r="V32" s="65">
        <v>2.5</v>
      </c>
      <c r="W32" s="42" t="s">
        <v>68</v>
      </c>
      <c r="X32" s="65">
        <v>3</v>
      </c>
      <c r="Y32" s="45" t="s">
        <v>68</v>
      </c>
      <c r="AD32" s="51">
        <f t="shared" si="1"/>
        <v>46204</v>
      </c>
      <c r="AE32" s="51">
        <f t="shared" si="8"/>
        <v>46234</v>
      </c>
    </row>
    <row r="33" spans="1:31" x14ac:dyDescent="0.35">
      <c r="A33" s="46"/>
      <c r="B33" s="46"/>
      <c r="C33" s="46"/>
      <c r="D33" s="46"/>
      <c r="E33" s="46"/>
      <c r="F33" s="46"/>
      <c r="G33" s="46"/>
      <c r="J33" s="54" t="s">
        <v>84</v>
      </c>
      <c r="S33" s="54" t="s">
        <v>84</v>
      </c>
      <c r="T33" s="46"/>
      <c r="U33" s="46"/>
      <c r="V33" s="46"/>
      <c r="W33" s="46"/>
      <c r="X33" s="46"/>
      <c r="Y33" s="46"/>
      <c r="AD33" s="51">
        <f t="shared" si="1"/>
        <v>46235</v>
      </c>
      <c r="AE33" s="51">
        <f t="shared" si="8"/>
        <v>46265</v>
      </c>
    </row>
    <row r="34" spans="1:31" x14ac:dyDescent="0.35">
      <c r="F34" s="47"/>
      <c r="G34" s="46"/>
      <c r="J34" s="54" t="s">
        <v>84</v>
      </c>
      <c r="S34" s="54" t="s">
        <v>84</v>
      </c>
      <c r="X34" s="47"/>
      <c r="Y34" s="46"/>
      <c r="AD34" s="51">
        <f t="shared" si="1"/>
        <v>46266</v>
      </c>
      <c r="AE34" s="51">
        <f t="shared" si="8"/>
        <v>46295</v>
      </c>
    </row>
    <row r="35" spans="1:31" ht="29" x14ac:dyDescent="0.35">
      <c r="B35" s="48" t="s">
        <v>69</v>
      </c>
      <c r="C35" s="49" t="s">
        <v>70</v>
      </c>
      <c r="J35" s="54" t="s">
        <v>84</v>
      </c>
      <c r="S35" s="54" t="s">
        <v>84</v>
      </c>
      <c r="AD35" s="51">
        <f t="shared" si="1"/>
        <v>46296</v>
      </c>
      <c r="AE35" s="51">
        <f t="shared" si="8"/>
        <v>46326</v>
      </c>
    </row>
    <row r="36" spans="1:31" x14ac:dyDescent="0.35">
      <c r="B36" s="52" t="s">
        <v>71</v>
      </c>
      <c r="C36" s="56"/>
      <c r="D36" s="55" t="s">
        <v>71</v>
      </c>
      <c r="J36" s="54" t="s">
        <v>84</v>
      </c>
      <c r="S36" s="54" t="s">
        <v>84</v>
      </c>
      <c r="AD36" s="51">
        <f t="shared" si="1"/>
        <v>46327</v>
      </c>
      <c r="AE36" s="51">
        <f t="shared" si="8"/>
        <v>46356</v>
      </c>
    </row>
    <row r="37" spans="1:31" x14ac:dyDescent="0.35">
      <c r="B37" s="52" t="s">
        <v>72</v>
      </c>
      <c r="C37" s="56"/>
      <c r="D37" s="55" t="s">
        <v>72</v>
      </c>
      <c r="J37" s="54" t="s">
        <v>84</v>
      </c>
      <c r="S37" s="54" t="s">
        <v>84</v>
      </c>
      <c r="AD37" s="51">
        <f t="shared" si="1"/>
        <v>46357</v>
      </c>
      <c r="AE37" s="51">
        <f t="shared" si="8"/>
        <v>46387</v>
      </c>
    </row>
    <row r="38" spans="1:31" x14ac:dyDescent="0.35">
      <c r="B38" s="52" t="s">
        <v>73</v>
      </c>
      <c r="C38" s="56"/>
      <c r="D38" s="55" t="s">
        <v>73</v>
      </c>
      <c r="J38" s="54" t="s">
        <v>84</v>
      </c>
      <c r="S38" s="54" t="s">
        <v>84</v>
      </c>
      <c r="AD38" s="51">
        <f t="shared" si="1"/>
        <v>46388</v>
      </c>
      <c r="AE38" s="51">
        <f t="shared" si="8"/>
        <v>46418</v>
      </c>
    </row>
    <row r="39" spans="1:31" x14ac:dyDescent="0.35">
      <c r="B39" s="52" t="s">
        <v>89</v>
      </c>
      <c r="C39" s="56"/>
      <c r="D39" s="55" t="s">
        <v>74</v>
      </c>
      <c r="J39" s="54" t="s">
        <v>84</v>
      </c>
      <c r="S39" s="54" t="s">
        <v>84</v>
      </c>
      <c r="AD39" s="51">
        <f t="shared" si="1"/>
        <v>46419</v>
      </c>
      <c r="AE39" s="51">
        <f t="shared" si="8"/>
        <v>46446</v>
      </c>
    </row>
    <row r="40" spans="1:31" x14ac:dyDescent="0.35">
      <c r="B40" s="52" t="s">
        <v>90</v>
      </c>
      <c r="C40" s="56"/>
      <c r="D40" s="55" t="s">
        <v>75</v>
      </c>
      <c r="J40" s="54" t="s">
        <v>84</v>
      </c>
      <c r="S40" s="54" t="s">
        <v>84</v>
      </c>
      <c r="AD40" s="51">
        <f t="shared" si="1"/>
        <v>46447</v>
      </c>
      <c r="AE40" s="51">
        <f t="shared" si="8"/>
        <v>46477</v>
      </c>
    </row>
    <row r="41" spans="1:31" x14ac:dyDescent="0.35">
      <c r="B41" s="52" t="s">
        <v>91</v>
      </c>
      <c r="C41" s="56"/>
      <c r="D41" s="55" t="s">
        <v>76</v>
      </c>
      <c r="J41" s="54" t="s">
        <v>84</v>
      </c>
      <c r="S41" s="54" t="s">
        <v>84</v>
      </c>
      <c r="AD41" s="51">
        <f t="shared" si="1"/>
        <v>46478</v>
      </c>
      <c r="AE41" s="51">
        <f t="shared" ref="AE41:AE50" si="9">EOMONTH(AD41,0)</f>
        <v>46507</v>
      </c>
    </row>
    <row r="42" spans="1:31" x14ac:dyDescent="0.35">
      <c r="B42" s="52" t="s">
        <v>77</v>
      </c>
      <c r="C42" s="56"/>
      <c r="D42" s="55" t="s">
        <v>77</v>
      </c>
      <c r="J42" s="54" t="s">
        <v>84</v>
      </c>
      <c r="S42" s="54" t="s">
        <v>84</v>
      </c>
      <c r="AD42" s="51">
        <f t="shared" si="1"/>
        <v>46508</v>
      </c>
      <c r="AE42" s="51">
        <f t="shared" si="9"/>
        <v>46538</v>
      </c>
    </row>
    <row r="43" spans="1:31" x14ac:dyDescent="0.35">
      <c r="B43" s="52" t="s">
        <v>78</v>
      </c>
      <c r="C43" s="56"/>
      <c r="D43" s="55" t="s">
        <v>78</v>
      </c>
      <c r="J43" s="54" t="s">
        <v>84</v>
      </c>
      <c r="S43" s="54" t="s">
        <v>84</v>
      </c>
      <c r="AD43" s="51">
        <f t="shared" si="1"/>
        <v>46539</v>
      </c>
      <c r="AE43" s="51">
        <f t="shared" si="9"/>
        <v>46568</v>
      </c>
    </row>
    <row r="44" spans="1:31" x14ac:dyDescent="0.35">
      <c r="J44" s="54" t="s">
        <v>84</v>
      </c>
      <c r="S44" s="54" t="s">
        <v>84</v>
      </c>
      <c r="AD44" s="51">
        <f t="shared" si="1"/>
        <v>46569</v>
      </c>
      <c r="AE44" s="51">
        <f t="shared" si="9"/>
        <v>46599</v>
      </c>
    </row>
    <row r="45" spans="1:31" x14ac:dyDescent="0.35">
      <c r="J45" s="54" t="s">
        <v>84</v>
      </c>
      <c r="S45" s="54" t="s">
        <v>84</v>
      </c>
      <c r="AD45" s="51">
        <f t="shared" si="1"/>
        <v>46600</v>
      </c>
      <c r="AE45" s="51">
        <f t="shared" si="9"/>
        <v>46630</v>
      </c>
    </row>
    <row r="46" spans="1:31" x14ac:dyDescent="0.35">
      <c r="AD46" s="51">
        <f t="shared" si="1"/>
        <v>46631</v>
      </c>
      <c r="AE46" s="51">
        <f t="shared" si="9"/>
        <v>46660</v>
      </c>
    </row>
    <row r="47" spans="1:31" x14ac:dyDescent="0.35">
      <c r="AD47" s="51">
        <f t="shared" si="1"/>
        <v>46661</v>
      </c>
      <c r="AE47" s="51">
        <f t="shared" si="9"/>
        <v>46691</v>
      </c>
    </row>
    <row r="48" spans="1:31" x14ac:dyDescent="0.35">
      <c r="AD48" s="51">
        <f t="shared" si="1"/>
        <v>46692</v>
      </c>
      <c r="AE48" s="51">
        <f t="shared" si="9"/>
        <v>46721</v>
      </c>
    </row>
    <row r="49" spans="30:31" x14ac:dyDescent="0.35">
      <c r="AD49" s="51">
        <f t="shared" si="1"/>
        <v>46722</v>
      </c>
      <c r="AE49" s="51">
        <f t="shared" si="9"/>
        <v>46752</v>
      </c>
    </row>
    <row r="50" spans="30:31" x14ac:dyDescent="0.35">
      <c r="AD50" s="51"/>
      <c r="AE50" s="51"/>
    </row>
  </sheetData>
  <sortState ref="AG3:AG31">
    <sortCondition ref="AG3"/>
  </sortState>
  <mergeCells count="63">
    <mergeCell ref="B13:C13"/>
    <mergeCell ref="B3:C4"/>
    <mergeCell ref="D3:E3"/>
    <mergeCell ref="B10:C10"/>
    <mergeCell ref="B11:C11"/>
    <mergeCell ref="B12:C12"/>
    <mergeCell ref="D29:E29"/>
    <mergeCell ref="F29:G29"/>
    <mergeCell ref="B14:C14"/>
    <mergeCell ref="B16:C16"/>
    <mergeCell ref="D16:E16"/>
    <mergeCell ref="F16:G16"/>
    <mergeCell ref="B23:C24"/>
    <mergeCell ref="D23:E23"/>
    <mergeCell ref="F23:G23"/>
    <mergeCell ref="B31:C31"/>
    <mergeCell ref="B32:C32"/>
    <mergeCell ref="B25:C25"/>
    <mergeCell ref="B26:C26"/>
    <mergeCell ref="B27:C27"/>
    <mergeCell ref="B29:C30"/>
    <mergeCell ref="K3:L4"/>
    <mergeCell ref="M3:N3"/>
    <mergeCell ref="K10:L10"/>
    <mergeCell ref="K11:L11"/>
    <mergeCell ref="K12:L12"/>
    <mergeCell ref="K13:L13"/>
    <mergeCell ref="K14:L14"/>
    <mergeCell ref="K16:L16"/>
    <mergeCell ref="M16:N16"/>
    <mergeCell ref="O16:P16"/>
    <mergeCell ref="K23:L24"/>
    <mergeCell ref="M23:N23"/>
    <mergeCell ref="O23:P23"/>
    <mergeCell ref="K25:L25"/>
    <mergeCell ref="K26:L26"/>
    <mergeCell ref="K32:L32"/>
    <mergeCell ref="K27:L27"/>
    <mergeCell ref="K29:L30"/>
    <mergeCell ref="M29:N29"/>
    <mergeCell ref="O29:P29"/>
    <mergeCell ref="K31:L31"/>
    <mergeCell ref="T3:U4"/>
    <mergeCell ref="V3:W3"/>
    <mergeCell ref="T10:U10"/>
    <mergeCell ref="T11:U11"/>
    <mergeCell ref="T12:U12"/>
    <mergeCell ref="T13:U13"/>
    <mergeCell ref="T14:U14"/>
    <mergeCell ref="T16:U16"/>
    <mergeCell ref="V16:W16"/>
    <mergeCell ref="X16:Y16"/>
    <mergeCell ref="T23:U24"/>
    <mergeCell ref="V23:W23"/>
    <mergeCell ref="X23:Y23"/>
    <mergeCell ref="T25:U25"/>
    <mergeCell ref="T26:U26"/>
    <mergeCell ref="T32:U32"/>
    <mergeCell ref="T27:U27"/>
    <mergeCell ref="T29:U30"/>
    <mergeCell ref="V29:W29"/>
    <mergeCell ref="X29:Y29"/>
    <mergeCell ref="T31:U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ESAU Calculator</vt:lpstr>
      <vt:lpstr>CCT</vt:lpstr>
      <vt:lpstr>'ESAU Calculator'!Print_Area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Abdullah, Syed</dc:creator>
  <cp:lastModifiedBy>Arif Abdullah, Syed</cp:lastModifiedBy>
  <dcterms:created xsi:type="dcterms:W3CDTF">2020-04-06T04:06:37Z</dcterms:created>
  <dcterms:modified xsi:type="dcterms:W3CDTF">2026-03-08T08:39:46Z</dcterms:modified>
</cp:coreProperties>
</file>