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05950B93-A78C-4184-9FB5-923B6CEC6AA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M wise Split" sheetId="1" r:id="rId1"/>
    <sheet name="Branchwise Spli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9" i="2" l="1"/>
  <c r="J19" i="2"/>
  <c r="I19" i="2"/>
  <c r="H19" i="2"/>
  <c r="G19" i="2"/>
  <c r="F19" i="2"/>
  <c r="E19" i="2"/>
  <c r="D19" i="2"/>
  <c r="C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19" i="2" s="1"/>
  <c r="K36" i="1"/>
  <c r="J36" i="1"/>
  <c r="I36" i="1"/>
  <c r="H36" i="1"/>
  <c r="G36" i="1"/>
  <c r="F36" i="1"/>
  <c r="E36" i="1"/>
  <c r="D36" i="1"/>
  <c r="C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M18" i="2" l="1"/>
  <c r="M14" i="2"/>
  <c r="M10" i="2"/>
  <c r="M6" i="2"/>
  <c r="M8" i="2"/>
  <c r="M12" i="2"/>
  <c r="M16" i="2"/>
  <c r="M5" i="2"/>
  <c r="M9" i="2"/>
  <c r="M13" i="2"/>
  <c r="M17" i="2"/>
  <c r="L36" i="1"/>
  <c r="M13" i="1" s="1"/>
  <c r="M28" i="1"/>
  <c r="M7" i="2"/>
  <c r="M11" i="2"/>
  <c r="M15" i="2"/>
  <c r="M4" i="2"/>
  <c r="M9" i="1" l="1"/>
  <c r="M18" i="1"/>
  <c r="M10" i="1"/>
  <c r="M24" i="1"/>
  <c r="M29" i="1"/>
  <c r="M20" i="1"/>
  <c r="M34" i="1"/>
  <c r="M25" i="1"/>
  <c r="M14" i="1"/>
  <c r="M4" i="1"/>
  <c r="M12" i="1"/>
  <c r="M30" i="1"/>
  <c r="N4" i="1"/>
  <c r="N5" i="1" s="1"/>
  <c r="M31" i="1"/>
  <c r="M35" i="1"/>
  <c r="M27" i="1"/>
  <c r="M23" i="1"/>
  <c r="M19" i="1"/>
  <c r="M15" i="1"/>
  <c r="M11" i="1"/>
  <c r="M7" i="1"/>
  <c r="M26" i="1"/>
  <c r="M8" i="1"/>
  <c r="M21" i="1"/>
  <c r="N4" i="2"/>
  <c r="N5" i="2" s="1"/>
  <c r="N6" i="2" s="1"/>
  <c r="N7" i="2" s="1"/>
  <c r="N8" i="2" s="1"/>
  <c r="N9" i="2" s="1"/>
  <c r="N10" i="2" s="1"/>
  <c r="N11" i="2" s="1"/>
  <c r="N12" i="2" s="1"/>
  <c r="N13" i="2" s="1"/>
  <c r="N14" i="2" s="1"/>
  <c r="N15" i="2" s="1"/>
  <c r="N16" i="2" s="1"/>
  <c r="N17" i="2" s="1"/>
  <c r="N18" i="2" s="1"/>
  <c r="M32" i="1"/>
  <c r="M16" i="1"/>
  <c r="M6" i="1"/>
  <c r="M36" i="1" s="1"/>
  <c r="M22" i="1"/>
  <c r="M5" i="1"/>
  <c r="M33" i="1"/>
  <c r="M17" i="1"/>
  <c r="N6" i="1" l="1"/>
  <c r="N7" i="1" s="1"/>
  <c r="N8" i="1" s="1"/>
  <c r="N9" i="1" s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N34" i="1" s="1"/>
  <c r="N35" i="1" s="1"/>
</calcChain>
</file>

<file path=xl/sharedStrings.xml><?xml version="1.0" encoding="utf-8"?>
<sst xmlns="http://schemas.openxmlformats.org/spreadsheetml/2006/main" count="81" uniqueCount="65">
  <si>
    <t>Rank</t>
  </si>
  <si>
    <t>RM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</si>
  <si>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</si>
  <si>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</si>
  <si>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</si>
  <si>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</si>
  <si>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</si>
  <si>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</si>
  <si>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</si>
  <si>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</si>
  <si>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</si>
  <si>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Total</t>
  </si>
  <si>
    <t>Share</t>
  </si>
  <si>
    <t>Cum. share</t>
  </si>
  <si>
    <t>Anwar Hossain[232862]</t>
  </si>
  <si>
    <t>Debashish Ghosh[559664]</t>
  </si>
  <si>
    <t>Jafar Uddin[646098]</t>
  </si>
  <si>
    <t>Kamrul Hasan[511847]</t>
  </si>
  <si>
    <t>Md. Abu Cowchar[611837]</t>
  </si>
  <si>
    <t>Ram Prasad Ghosh[232703]</t>
  </si>
  <si>
    <t>Al Sayeed Hasan[261679]</t>
  </si>
  <si>
    <t>Alak Chandra Dhar[391698]</t>
  </si>
  <si>
    <t>Avijit Karmakar[617992]</t>
  </si>
  <si>
    <t>Bikash Moitra[365296]</t>
  </si>
  <si>
    <t>Gius Uddin[309899]</t>
  </si>
  <si>
    <t>Ibrahim Hossain[361366]</t>
  </si>
  <si>
    <t>Jagadish Chandra Das[252556]</t>
  </si>
  <si>
    <t>Jahirul Islam[354526]</t>
  </si>
  <si>
    <t>Johurul Goni Shiplu[233651]</t>
  </si>
  <si>
    <t>Lablur Rahman[232748]</t>
  </si>
  <si>
    <t>Mahabur Rahman[278252]</t>
  </si>
  <si>
    <t>Malequzzaman[383834]</t>
  </si>
  <si>
    <t>Md. Habib Hossain[472182]</t>
  </si>
  <si>
    <t>Md. Mahmudul Haque[706802]</t>
  </si>
  <si>
    <t>Md. Mhafujar Akando[585679]</t>
  </si>
  <si>
    <t>Md. Nahidul Islam[592710]</t>
  </si>
  <si>
    <t>Md. Rashed Nezam[607268]</t>
  </si>
  <si>
    <t>Mizanur Rahaman[277507]</t>
  </si>
  <si>
    <t>Naharul Islam[461770]</t>
  </si>
  <si>
    <t>Nawaz Kabir Niloy[328694]</t>
  </si>
  <si>
    <t>Rashed Ahmed [310140]</t>
  </si>
  <si>
    <t>Rashedul Alam Mg[451093]</t>
  </si>
  <si>
    <t>Rashel Miah[616337]</t>
  </si>
  <si>
    <t>Rupon Chattergee[354517]</t>
  </si>
  <si>
    <t>Shamim Hossen[521595]</t>
  </si>
  <si>
    <t>Twarit Barua[314863]</t>
  </si>
  <si>
    <t>—</t>
  </si>
  <si>
    <t>Prepayment Distribution by Branch</t>
  </si>
  <si>
    <t>Branch</t>
  </si>
  <si>
    <t>Gazipur</t>
  </si>
  <si>
    <t>Mirpur</t>
  </si>
  <si>
    <t>Chowmuhani</t>
  </si>
  <si>
    <t>Gulshan</t>
  </si>
  <si>
    <t>Natore</t>
  </si>
  <si>
    <t>Agrabad</t>
  </si>
  <si>
    <t>Bhulta</t>
  </si>
  <si>
    <t>Elephant Road</t>
  </si>
  <si>
    <t>Jessore</t>
  </si>
  <si>
    <t>Savar</t>
  </si>
  <si>
    <t>Barisal</t>
  </si>
  <si>
    <t>Hobiganj</t>
  </si>
  <si>
    <t>Imamganj</t>
  </si>
  <si>
    <t>Nandankanon</t>
  </si>
  <si>
    <t>Narayangonj</t>
  </si>
  <si>
    <t>Prepayment Distribution by Initiating 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</si>
</sst>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Calibri"/>
      <family val="2"/>
      <scheme val="minor"/>
    </font>
    <font>
      <b/>
      <sz val="15"/>
      <color rgb="FF1B365D"/>
      <name val="Segoe UI"/>
      <family val="2"/>
    </font>
    <font>
      <b/>
      <sz val="10"/>
      <color rgb="FFFFFFFF"/>
      <name val="Segoe UI"/>
      <family val="2"/>
    </font>
    <font>
      <sz val="10"/>
      <color rgb="FF111111"/>
      <name val="Segoe UI"/>
      <family val="2"/>
    </font>
    <font>
      <b/>
      <sz val="10"/>
      <color rgb="FF111111"/>
      <name val="Segoe UI"/>
      <family val="2"/>
    </font>
    <font>
      <b/>
      <sz val="10"/>
      <color rgb="FF1B365D"/>
      <name val="Segoe UI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8FAFC"/>
        <bgColor rgb="FFF8FAFC"/>
      </patternFill>
    </fill>
    <fill>
      <patternFill patternType="solid">
        <fgColor rgb="FFE8EEF5"/>
        <bgColor rgb="FFE8EEF5"/>
      </patternFill>
    </fill>
  </fills>
  <borders count="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thin">
        <color rgb="FFD0D7DE"/>
      </left>
      <right style="thin">
        <color rgb="FFD0D7DE"/>
      </right>
      <top style="thin">
        <color rgb="FF1B365D"/>
      </top>
      <bottom style="double">
        <color rgb="FF1B365D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3" fontId="3" fillId="3" borderId="1" xfId="0" applyNumberFormat="1" applyFont="1" applyFill="1" applyBorder="1" applyAlignment="1">
      <alignment horizontal="center" vertical="center"/>
    </xf>
    <xf numFmtId="3" fontId="4" fillId="3" borderId="1" xfId="0" applyNumberFormat="1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right" vertical="center"/>
    </xf>
    <xf numFmtId="0" fontId="0" fillId="4" borderId="2" xfId="0" applyFill="1" applyBorder="1"/>
    <xf numFmtId="0" fontId="5" fillId="4" borderId="2" xfId="0" applyFont="1" applyFill="1" applyBorder="1" applyAlignment="1">
      <alignment horizontal="left" vertical="center"/>
    </xf>
    <xf numFmtId="3" fontId="5" fillId="4" borderId="2" xfId="0" applyNumberFormat="1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9" fontId="5" fillId="4" borderId="2" xfId="1" applyFont="1" applyFill="1" applyBorder="1" applyAlignment="1">
      <alignment horizontal="right" vertic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6"/>
  <sheetViews>
    <sheetView tabSelected="1" workbookViewId="0">
      <pane xSplit="2" ySplit="3" topLeftCell="C4" activePane="bottomRight" state="frozen"/>
      <selection pane="topRight"/>
      <selection pane="bottomLeft"/>
      <selection pane="bottomRight" activeCell="H4" sqref="H4"/>
    </sheetView>
  </sheetViews>
  <sheetFormatPr defaultRowHeight="15" x14ac:dyDescent="0.25"/>
  <cols>
    <col min="1" max="1" width="8" customWidth="1"/>
    <col min="2" max="2" width="34" customWidth="1"/>
    <col min="3" max="11" width="9" customWidth="1"/>
    <col min="12" max="13" width="11" customWidth="1"/>
    <col min="14" max="14" width="13" customWidth="1"/>
  </cols>
  <sheetData>
    <row r="1" spans="1:14" ht="24.95" customHeight="1" x14ac:dyDescent="0.25">
      <c r="A1" s="17" t="s">
        <v>64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2" spans="1:14" ht="8.1" customHeight="1" x14ac:dyDescent="0.25"/>
    <row r="3" spans="1:14" ht="26.1" customHeight="1" x14ac:dyDescent="0.25">
      <c r="A3" s="1" t="s">
        <v>0</v>
      </c>
      <c r="B3" s="2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</row>
    <row r="4" spans="1:14" ht="20.100000000000001" customHeight="1" x14ac:dyDescent="0.25">
      <c r="A4" s="3">
        <v>1</v>
      </c>
      <c r="B4" s="4" t="s">
        <v>14</v>
      </c>
      <c r="C4" s="5">
        <v>0</v>
      </c>
      <c r="D4" s="5">
        <v>0</v>
      </c>
      <c r="E4" s="5">
        <v>1</v>
      </c>
      <c r="F4" s="5">
        <v>1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6">
        <f t="shared" ref="L4:L35" si="0">SUM(C4:K4)</f>
        <v>2</v>
      </c>
      <c r="M4" s="7">
        <f t="shared" ref="M4:M35" si="1">L4/$L$36</f>
        <v>5.2631578947368418E-2</v>
      </c>
      <c r="N4" s="7">
        <f>M4</f>
        <v>5.2631578947368418E-2</v>
      </c>
    </row>
    <row r="5" spans="1:14" ht="20.100000000000001" customHeight="1" x14ac:dyDescent="0.25">
      <c r="A5" s="8">
        <v>2</v>
      </c>
      <c r="B5" s="9" t="s">
        <v>15</v>
      </c>
      <c r="C5" s="10">
        <v>0</v>
      </c>
      <c r="D5" s="10">
        <v>0</v>
      </c>
      <c r="E5" s="10">
        <v>0</v>
      </c>
      <c r="F5" s="10">
        <v>0</v>
      </c>
      <c r="G5" s="10">
        <v>1</v>
      </c>
      <c r="H5" s="10">
        <v>0</v>
      </c>
      <c r="I5" s="10">
        <v>0</v>
      </c>
      <c r="J5" s="10">
        <v>0</v>
      </c>
      <c r="K5" s="10">
        <v>1</v>
      </c>
      <c r="L5" s="11">
        <f t="shared" si="0"/>
        <v>2</v>
      </c>
      <c r="M5" s="12">
        <f t="shared" si="1"/>
        <v>5.2631578947368418E-2</v>
      </c>
      <c r="N5" s="12">
        <f t="shared" ref="N5:N35" si="2">N4+M5</f>
        <v>0.10526315789473684</v>
      </c>
    </row>
    <row r="6" spans="1:14" ht="20.100000000000001" customHeight="1" x14ac:dyDescent="0.25">
      <c r="A6" s="3">
        <v>3</v>
      </c>
      <c r="B6" s="4" t="s">
        <v>16</v>
      </c>
      <c r="C6" s="5">
        <v>0</v>
      </c>
      <c r="D6" s="5">
        <v>0</v>
      </c>
      <c r="E6" s="5">
        <v>1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1</v>
      </c>
      <c r="L6" s="6">
        <f t="shared" si="0"/>
        <v>2</v>
      </c>
      <c r="M6" s="7">
        <f t="shared" si="1"/>
        <v>5.2631578947368418E-2</v>
      </c>
      <c r="N6" s="7">
        <f t="shared" si="2"/>
        <v>0.15789473684210525</v>
      </c>
    </row>
    <row r="7" spans="1:14" ht="20.100000000000001" customHeight="1" x14ac:dyDescent="0.25">
      <c r="A7" s="8">
        <v>4</v>
      </c>
      <c r="B7" s="9" t="s">
        <v>17</v>
      </c>
      <c r="C7" s="10">
        <v>0</v>
      </c>
      <c r="D7" s="10">
        <v>0</v>
      </c>
      <c r="E7" s="10">
        <v>1</v>
      </c>
      <c r="F7" s="10">
        <v>0</v>
      </c>
      <c r="G7" s="10">
        <v>0</v>
      </c>
      <c r="H7" s="10">
        <v>0</v>
      </c>
      <c r="I7" s="10">
        <v>1</v>
      </c>
      <c r="J7" s="10">
        <v>0</v>
      </c>
      <c r="K7" s="10">
        <v>0</v>
      </c>
      <c r="L7" s="11">
        <f t="shared" si="0"/>
        <v>2</v>
      </c>
      <c r="M7" s="12">
        <f t="shared" si="1"/>
        <v>5.2631578947368418E-2</v>
      </c>
      <c r="N7" s="12">
        <f t="shared" si="2"/>
        <v>0.21052631578947367</v>
      </c>
    </row>
    <row r="8" spans="1:14" ht="20.100000000000001" customHeight="1" x14ac:dyDescent="0.25">
      <c r="A8" s="3">
        <v>5</v>
      </c>
      <c r="B8" s="4" t="s">
        <v>18</v>
      </c>
      <c r="C8" s="5">
        <v>0</v>
      </c>
      <c r="D8" s="5">
        <v>1</v>
      </c>
      <c r="E8" s="5">
        <v>0</v>
      </c>
      <c r="F8" s="5">
        <v>1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6">
        <f t="shared" si="0"/>
        <v>2</v>
      </c>
      <c r="M8" s="7">
        <f t="shared" si="1"/>
        <v>5.2631578947368418E-2</v>
      </c>
      <c r="N8" s="7">
        <f t="shared" si="2"/>
        <v>0.26315789473684209</v>
      </c>
    </row>
    <row r="9" spans="1:14" ht="20.100000000000001" customHeight="1" x14ac:dyDescent="0.25">
      <c r="A9" s="8">
        <v>6</v>
      </c>
      <c r="B9" s="9" t="s">
        <v>19</v>
      </c>
      <c r="C9" s="10">
        <v>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1">
        <f t="shared" si="0"/>
        <v>2</v>
      </c>
      <c r="M9" s="12">
        <f t="shared" si="1"/>
        <v>5.2631578947368418E-2</v>
      </c>
      <c r="N9" s="12">
        <f t="shared" si="2"/>
        <v>0.31578947368421051</v>
      </c>
    </row>
    <row r="10" spans="1:14" ht="20.100000000000001" customHeight="1" x14ac:dyDescent="0.25">
      <c r="A10" s="3">
        <v>7</v>
      </c>
      <c r="B10" s="4" t="s">
        <v>20</v>
      </c>
      <c r="C10" s="5">
        <v>0</v>
      </c>
      <c r="D10" s="5">
        <v>1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6">
        <f t="shared" si="0"/>
        <v>1</v>
      </c>
      <c r="M10" s="7">
        <f t="shared" si="1"/>
        <v>2.6315789473684209E-2</v>
      </c>
      <c r="N10" s="7">
        <f t="shared" si="2"/>
        <v>0.34210526315789469</v>
      </c>
    </row>
    <row r="11" spans="1:14" ht="20.100000000000001" customHeight="1" x14ac:dyDescent="0.25">
      <c r="A11" s="8">
        <v>8</v>
      </c>
      <c r="B11" s="9" t="s">
        <v>21</v>
      </c>
      <c r="C11" s="10">
        <v>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1">
        <f t="shared" si="0"/>
        <v>1</v>
      </c>
      <c r="M11" s="12">
        <f t="shared" si="1"/>
        <v>2.6315789473684209E-2</v>
      </c>
      <c r="N11" s="12">
        <f t="shared" si="2"/>
        <v>0.36842105263157887</v>
      </c>
    </row>
    <row r="12" spans="1:14" ht="20.100000000000001" customHeight="1" x14ac:dyDescent="0.25">
      <c r="A12" s="3">
        <v>9</v>
      </c>
      <c r="B12" s="4" t="s">
        <v>22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1</v>
      </c>
      <c r="L12" s="6">
        <f t="shared" si="0"/>
        <v>1</v>
      </c>
      <c r="M12" s="7">
        <f t="shared" si="1"/>
        <v>2.6315789473684209E-2</v>
      </c>
      <c r="N12" s="7">
        <f t="shared" si="2"/>
        <v>0.39473684210526305</v>
      </c>
    </row>
    <row r="13" spans="1:14" ht="20.100000000000001" customHeight="1" x14ac:dyDescent="0.25">
      <c r="A13" s="8">
        <v>10</v>
      </c>
      <c r="B13" s="9" t="s">
        <v>23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1</v>
      </c>
      <c r="K13" s="10">
        <v>0</v>
      </c>
      <c r="L13" s="11">
        <f t="shared" si="0"/>
        <v>1</v>
      </c>
      <c r="M13" s="12">
        <f t="shared" si="1"/>
        <v>2.6315789473684209E-2</v>
      </c>
      <c r="N13" s="12">
        <f t="shared" si="2"/>
        <v>0.42105263157894723</v>
      </c>
    </row>
    <row r="14" spans="1:14" ht="20.100000000000001" customHeight="1" x14ac:dyDescent="0.25">
      <c r="A14" s="3">
        <v>11</v>
      </c>
      <c r="B14" s="4" t="s">
        <v>24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1</v>
      </c>
      <c r="I14" s="5">
        <v>0</v>
      </c>
      <c r="J14" s="5">
        <v>0</v>
      </c>
      <c r="K14" s="5">
        <v>0</v>
      </c>
      <c r="L14" s="6">
        <f t="shared" si="0"/>
        <v>1</v>
      </c>
      <c r="M14" s="7">
        <f t="shared" si="1"/>
        <v>2.6315789473684209E-2</v>
      </c>
      <c r="N14" s="7">
        <f t="shared" si="2"/>
        <v>0.44736842105263142</v>
      </c>
    </row>
    <row r="15" spans="1:14" ht="20.100000000000001" customHeight="1" x14ac:dyDescent="0.25">
      <c r="A15" s="8">
        <v>12</v>
      </c>
      <c r="B15" s="9" t="s">
        <v>25</v>
      </c>
      <c r="C15" s="10">
        <v>0</v>
      </c>
      <c r="D15" s="10">
        <v>0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1">
        <f t="shared" si="0"/>
        <v>1</v>
      </c>
      <c r="M15" s="12">
        <f t="shared" si="1"/>
        <v>2.6315789473684209E-2</v>
      </c>
      <c r="N15" s="12">
        <f t="shared" si="2"/>
        <v>0.4736842105263156</v>
      </c>
    </row>
    <row r="16" spans="1:14" ht="20.100000000000001" customHeight="1" x14ac:dyDescent="0.25">
      <c r="A16" s="3">
        <v>13</v>
      </c>
      <c r="B16" s="4" t="s">
        <v>26</v>
      </c>
      <c r="C16" s="5">
        <v>1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6">
        <f t="shared" si="0"/>
        <v>1</v>
      </c>
      <c r="M16" s="7">
        <f t="shared" si="1"/>
        <v>2.6315789473684209E-2</v>
      </c>
      <c r="N16" s="7">
        <f t="shared" si="2"/>
        <v>0.49999999999999978</v>
      </c>
    </row>
    <row r="17" spans="1:14" ht="20.100000000000001" customHeight="1" x14ac:dyDescent="0.25">
      <c r="A17" s="8">
        <v>14</v>
      </c>
      <c r="B17" s="9" t="s">
        <v>27</v>
      </c>
      <c r="C17" s="10">
        <v>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1">
        <f t="shared" si="0"/>
        <v>1</v>
      </c>
      <c r="M17" s="12">
        <f t="shared" si="1"/>
        <v>2.6315789473684209E-2</v>
      </c>
      <c r="N17" s="12">
        <f t="shared" si="2"/>
        <v>0.52631578947368396</v>
      </c>
    </row>
    <row r="18" spans="1:14" ht="20.100000000000001" customHeight="1" x14ac:dyDescent="0.25">
      <c r="A18" s="3">
        <v>15</v>
      </c>
      <c r="B18" s="4" t="s">
        <v>28</v>
      </c>
      <c r="C18" s="5">
        <v>0</v>
      </c>
      <c r="D18" s="5">
        <v>1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6">
        <f t="shared" si="0"/>
        <v>1</v>
      </c>
      <c r="M18" s="7">
        <f t="shared" si="1"/>
        <v>2.6315789473684209E-2</v>
      </c>
      <c r="N18" s="7">
        <f t="shared" si="2"/>
        <v>0.55263157894736814</v>
      </c>
    </row>
    <row r="19" spans="1:14" ht="20.100000000000001" customHeight="1" x14ac:dyDescent="0.25">
      <c r="A19" s="8">
        <v>16</v>
      </c>
      <c r="B19" s="9" t="s">
        <v>29</v>
      </c>
      <c r="C19" s="10">
        <v>0</v>
      </c>
      <c r="D19" s="10">
        <v>0</v>
      </c>
      <c r="E19" s="10">
        <v>0</v>
      </c>
      <c r="F19" s="10">
        <v>0</v>
      </c>
      <c r="G19" s="10">
        <v>1</v>
      </c>
      <c r="H19" s="10">
        <v>0</v>
      </c>
      <c r="I19" s="10">
        <v>0</v>
      </c>
      <c r="J19" s="10">
        <v>0</v>
      </c>
      <c r="K19" s="10">
        <v>0</v>
      </c>
      <c r="L19" s="11">
        <f t="shared" si="0"/>
        <v>1</v>
      </c>
      <c r="M19" s="12">
        <f t="shared" si="1"/>
        <v>2.6315789473684209E-2</v>
      </c>
      <c r="N19" s="12">
        <f t="shared" si="2"/>
        <v>0.57894736842105232</v>
      </c>
    </row>
    <row r="20" spans="1:14" ht="20.100000000000001" customHeight="1" x14ac:dyDescent="0.25">
      <c r="A20" s="3">
        <v>17</v>
      </c>
      <c r="B20" s="4" t="s">
        <v>30</v>
      </c>
      <c r="C20" s="5">
        <v>0</v>
      </c>
      <c r="D20" s="5">
        <v>0</v>
      </c>
      <c r="E20" s="5">
        <v>1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6">
        <f t="shared" si="0"/>
        <v>1</v>
      </c>
      <c r="M20" s="7">
        <f t="shared" si="1"/>
        <v>2.6315789473684209E-2</v>
      </c>
      <c r="N20" s="7">
        <f t="shared" si="2"/>
        <v>0.6052631578947365</v>
      </c>
    </row>
    <row r="21" spans="1:14" ht="20.100000000000001" customHeight="1" x14ac:dyDescent="0.25">
      <c r="A21" s="8">
        <v>18</v>
      </c>
      <c r="B21" s="9" t="s">
        <v>31</v>
      </c>
      <c r="C21" s="10">
        <v>0</v>
      </c>
      <c r="D21" s="10">
        <v>0</v>
      </c>
      <c r="E21" s="10">
        <v>1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1">
        <f t="shared" si="0"/>
        <v>1</v>
      </c>
      <c r="M21" s="12">
        <f t="shared" si="1"/>
        <v>2.6315789473684209E-2</v>
      </c>
      <c r="N21" s="12">
        <f t="shared" si="2"/>
        <v>0.63157894736842068</v>
      </c>
    </row>
    <row r="22" spans="1:14" ht="20.100000000000001" customHeight="1" x14ac:dyDescent="0.25">
      <c r="A22" s="3">
        <v>19</v>
      </c>
      <c r="B22" s="4" t="s">
        <v>32</v>
      </c>
      <c r="C22" s="5">
        <v>0</v>
      </c>
      <c r="D22" s="5">
        <v>0</v>
      </c>
      <c r="E22" s="5">
        <v>0</v>
      </c>
      <c r="F22" s="5">
        <v>0</v>
      </c>
      <c r="G22" s="5">
        <v>1</v>
      </c>
      <c r="H22" s="5">
        <v>0</v>
      </c>
      <c r="I22" s="5">
        <v>0</v>
      </c>
      <c r="J22" s="5">
        <v>0</v>
      </c>
      <c r="K22" s="5">
        <v>0</v>
      </c>
      <c r="L22" s="6">
        <f t="shared" si="0"/>
        <v>1</v>
      </c>
      <c r="M22" s="7">
        <f t="shared" si="1"/>
        <v>2.6315789473684209E-2</v>
      </c>
      <c r="N22" s="7">
        <f t="shared" si="2"/>
        <v>0.65789473684210487</v>
      </c>
    </row>
    <row r="23" spans="1:14" ht="20.100000000000001" customHeight="1" x14ac:dyDescent="0.25">
      <c r="A23" s="8">
        <v>20</v>
      </c>
      <c r="B23" s="9" t="s">
        <v>33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1</v>
      </c>
      <c r="K23" s="10">
        <v>0</v>
      </c>
      <c r="L23" s="11">
        <f t="shared" si="0"/>
        <v>1</v>
      </c>
      <c r="M23" s="12">
        <f t="shared" si="1"/>
        <v>2.6315789473684209E-2</v>
      </c>
      <c r="N23" s="12">
        <f t="shared" si="2"/>
        <v>0.68421052631578905</v>
      </c>
    </row>
    <row r="24" spans="1:14" ht="20.100000000000001" customHeight="1" x14ac:dyDescent="0.25">
      <c r="A24" s="3">
        <v>21</v>
      </c>
      <c r="B24" s="4" t="s">
        <v>34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1</v>
      </c>
      <c r="K24" s="5">
        <v>0</v>
      </c>
      <c r="L24" s="6">
        <f t="shared" si="0"/>
        <v>1</v>
      </c>
      <c r="M24" s="7">
        <f t="shared" si="1"/>
        <v>2.6315789473684209E-2</v>
      </c>
      <c r="N24" s="7">
        <f t="shared" si="2"/>
        <v>0.71052631578947323</v>
      </c>
    </row>
    <row r="25" spans="1:14" ht="20.100000000000001" customHeight="1" x14ac:dyDescent="0.25">
      <c r="A25" s="8">
        <v>22</v>
      </c>
      <c r="B25" s="9" t="s">
        <v>35</v>
      </c>
      <c r="C25" s="10">
        <v>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1">
        <f t="shared" si="0"/>
        <v>1</v>
      </c>
      <c r="M25" s="12">
        <f t="shared" si="1"/>
        <v>2.6315789473684209E-2</v>
      </c>
      <c r="N25" s="12">
        <f t="shared" si="2"/>
        <v>0.73684210526315741</v>
      </c>
    </row>
    <row r="26" spans="1:14" ht="20.100000000000001" customHeight="1" x14ac:dyDescent="0.25">
      <c r="A26" s="3">
        <v>23</v>
      </c>
      <c r="B26" s="4" t="s">
        <v>36</v>
      </c>
      <c r="C26" s="5">
        <v>0</v>
      </c>
      <c r="D26" s="5">
        <v>0</v>
      </c>
      <c r="E26" s="5">
        <v>0</v>
      </c>
      <c r="F26" s="5">
        <v>1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6">
        <f t="shared" si="0"/>
        <v>1</v>
      </c>
      <c r="M26" s="7">
        <f t="shared" si="1"/>
        <v>2.6315789473684209E-2</v>
      </c>
      <c r="N26" s="7">
        <f t="shared" si="2"/>
        <v>0.76315789473684159</v>
      </c>
    </row>
    <row r="27" spans="1:14" ht="20.100000000000001" customHeight="1" x14ac:dyDescent="0.25">
      <c r="A27" s="8">
        <v>24</v>
      </c>
      <c r="B27" s="9" t="s">
        <v>37</v>
      </c>
      <c r="C27" s="10">
        <v>0</v>
      </c>
      <c r="D27" s="10">
        <v>1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1">
        <f t="shared" si="0"/>
        <v>1</v>
      </c>
      <c r="M27" s="12">
        <f t="shared" si="1"/>
        <v>2.6315789473684209E-2</v>
      </c>
      <c r="N27" s="12">
        <f t="shared" si="2"/>
        <v>0.78947368421052577</v>
      </c>
    </row>
    <row r="28" spans="1:14" ht="20.100000000000001" customHeight="1" x14ac:dyDescent="0.25">
      <c r="A28" s="3">
        <v>25</v>
      </c>
      <c r="B28" s="4" t="s">
        <v>38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1</v>
      </c>
      <c r="K28" s="5">
        <v>0</v>
      </c>
      <c r="L28" s="6">
        <f t="shared" si="0"/>
        <v>1</v>
      </c>
      <c r="M28" s="7">
        <f t="shared" si="1"/>
        <v>2.6315789473684209E-2</v>
      </c>
      <c r="N28" s="7">
        <f t="shared" si="2"/>
        <v>0.81578947368420995</v>
      </c>
    </row>
    <row r="29" spans="1:14" ht="20.100000000000001" customHeight="1" x14ac:dyDescent="0.25">
      <c r="A29" s="8">
        <v>26</v>
      </c>
      <c r="B29" s="9" t="s">
        <v>39</v>
      </c>
      <c r="C29" s="10">
        <v>0</v>
      </c>
      <c r="D29" s="10">
        <v>1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1">
        <f t="shared" si="0"/>
        <v>1</v>
      </c>
      <c r="M29" s="12">
        <f t="shared" si="1"/>
        <v>2.6315789473684209E-2</v>
      </c>
      <c r="N29" s="12">
        <f t="shared" si="2"/>
        <v>0.84210526315789413</v>
      </c>
    </row>
    <row r="30" spans="1:14" ht="20.100000000000001" customHeight="1" x14ac:dyDescent="0.25">
      <c r="A30" s="3">
        <v>27</v>
      </c>
      <c r="B30" s="4" t="s">
        <v>40</v>
      </c>
      <c r="C30" s="5">
        <v>0</v>
      </c>
      <c r="D30" s="5">
        <v>0</v>
      </c>
      <c r="E30" s="5">
        <v>0</v>
      </c>
      <c r="F30" s="5">
        <v>0</v>
      </c>
      <c r="G30" s="5">
        <v>1</v>
      </c>
      <c r="H30" s="5">
        <v>0</v>
      </c>
      <c r="I30" s="5">
        <v>0</v>
      </c>
      <c r="J30" s="5">
        <v>0</v>
      </c>
      <c r="K30" s="5">
        <v>0</v>
      </c>
      <c r="L30" s="6">
        <f t="shared" si="0"/>
        <v>1</v>
      </c>
      <c r="M30" s="7">
        <f t="shared" si="1"/>
        <v>2.6315789473684209E-2</v>
      </c>
      <c r="N30" s="7">
        <f t="shared" si="2"/>
        <v>0.86842105263157832</v>
      </c>
    </row>
    <row r="31" spans="1:14" ht="20.100000000000001" customHeight="1" x14ac:dyDescent="0.25">
      <c r="A31" s="8">
        <v>28</v>
      </c>
      <c r="B31" s="9" t="s">
        <v>41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1</v>
      </c>
      <c r="J31" s="10">
        <v>0</v>
      </c>
      <c r="K31" s="10">
        <v>0</v>
      </c>
      <c r="L31" s="11">
        <f t="shared" si="0"/>
        <v>1</v>
      </c>
      <c r="M31" s="12">
        <f t="shared" si="1"/>
        <v>2.6315789473684209E-2</v>
      </c>
      <c r="N31" s="12">
        <f t="shared" si="2"/>
        <v>0.8947368421052625</v>
      </c>
    </row>
    <row r="32" spans="1:14" ht="20.100000000000001" customHeight="1" x14ac:dyDescent="0.25">
      <c r="A32" s="3">
        <v>29</v>
      </c>
      <c r="B32" s="4" t="s">
        <v>42</v>
      </c>
      <c r="C32" s="5">
        <v>0</v>
      </c>
      <c r="D32" s="5">
        <v>0</v>
      </c>
      <c r="E32" s="5">
        <v>0</v>
      </c>
      <c r="F32" s="5">
        <v>0</v>
      </c>
      <c r="G32" s="5">
        <v>1</v>
      </c>
      <c r="H32" s="5">
        <v>0</v>
      </c>
      <c r="I32" s="5">
        <v>0</v>
      </c>
      <c r="J32" s="5">
        <v>0</v>
      </c>
      <c r="K32" s="5">
        <v>0</v>
      </c>
      <c r="L32" s="6">
        <f t="shared" si="0"/>
        <v>1</v>
      </c>
      <c r="M32" s="7">
        <f t="shared" si="1"/>
        <v>2.6315789473684209E-2</v>
      </c>
      <c r="N32" s="7">
        <f t="shared" si="2"/>
        <v>0.92105263157894668</v>
      </c>
    </row>
    <row r="33" spans="1:14" ht="20.100000000000001" customHeight="1" x14ac:dyDescent="0.25">
      <c r="A33" s="8">
        <v>30</v>
      </c>
      <c r="B33" s="9" t="s">
        <v>43</v>
      </c>
      <c r="C33" s="10">
        <v>0</v>
      </c>
      <c r="D33" s="10">
        <v>1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1">
        <f t="shared" si="0"/>
        <v>1</v>
      </c>
      <c r="M33" s="12">
        <f t="shared" si="1"/>
        <v>2.6315789473684209E-2</v>
      </c>
      <c r="N33" s="12">
        <f t="shared" si="2"/>
        <v>0.94736842105263086</v>
      </c>
    </row>
    <row r="34" spans="1:14" ht="20.100000000000001" customHeight="1" x14ac:dyDescent="0.25">
      <c r="A34" s="3">
        <v>31</v>
      </c>
      <c r="B34" s="4" t="s">
        <v>44</v>
      </c>
      <c r="C34" s="5">
        <v>0</v>
      </c>
      <c r="D34" s="5">
        <v>0</v>
      </c>
      <c r="E34" s="5">
        <v>0</v>
      </c>
      <c r="F34" s="5">
        <v>1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6">
        <f t="shared" si="0"/>
        <v>1</v>
      </c>
      <c r="M34" s="7">
        <f t="shared" si="1"/>
        <v>2.6315789473684209E-2</v>
      </c>
      <c r="N34" s="7">
        <f t="shared" si="2"/>
        <v>0.97368421052631504</v>
      </c>
    </row>
    <row r="35" spans="1:14" ht="20.100000000000001" customHeight="1" x14ac:dyDescent="0.25">
      <c r="A35" s="8">
        <v>32</v>
      </c>
      <c r="B35" s="9" t="s">
        <v>45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1</v>
      </c>
      <c r="J35" s="10">
        <v>0</v>
      </c>
      <c r="K35" s="10">
        <v>0</v>
      </c>
      <c r="L35" s="11">
        <f t="shared" si="0"/>
        <v>1</v>
      </c>
      <c r="M35" s="12">
        <f t="shared" si="1"/>
        <v>2.6315789473684209E-2</v>
      </c>
      <c r="N35" s="12">
        <f t="shared" si="2"/>
        <v>0.99999999999999922</v>
      </c>
    </row>
    <row r="36" spans="1:14" ht="24" customHeight="1" x14ac:dyDescent="0.25">
      <c r="A36" s="13"/>
      <c r="B36" s="14" t="s">
        <v>11</v>
      </c>
      <c r="C36" s="15">
        <f t="shared" ref="C36:M36" si="3">SUM(C4:C35)</f>
        <v>4</v>
      </c>
      <c r="D36" s="15">
        <f t="shared" si="3"/>
        <v>7</v>
      </c>
      <c r="E36" s="15">
        <f t="shared" si="3"/>
        <v>5</v>
      </c>
      <c r="F36" s="15">
        <f t="shared" si="3"/>
        <v>6</v>
      </c>
      <c r="G36" s="15">
        <f t="shared" si="3"/>
        <v>5</v>
      </c>
      <c r="H36" s="15">
        <f t="shared" si="3"/>
        <v>1</v>
      </c>
      <c r="I36" s="15">
        <f t="shared" si="3"/>
        <v>3</v>
      </c>
      <c r="J36" s="15">
        <f t="shared" si="3"/>
        <v>4</v>
      </c>
      <c r="K36" s="15">
        <f t="shared" si="3"/>
        <v>3</v>
      </c>
      <c r="L36" s="15">
        <f t="shared" si="3"/>
        <v>38</v>
      </c>
      <c r="M36" s="18">
        <f t="shared" si="3"/>
        <v>0.99999999999999922</v>
      </c>
      <c r="N36" s="16" t="s">
        <v>46</v>
      </c>
    </row>
  </sheetData>
  <mergeCells count="1">
    <mergeCell ref="A1:N1"/>
  </mergeCells>
  <conditionalFormatting sqref="M4:M3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{7619C21B-79F3-47B9-A108-6E85BAD71684}</x14:id>
        </ext>
      </extLs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619C21B-79F3-47B9-A108-6E85BAD716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M4:M35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F26" sqref="F26"/>
    </sheetView>
  </sheetViews>
  <sheetFormatPr defaultRowHeight="15" x14ac:dyDescent="0.25"/>
  <cols>
    <col min="1" max="1" width="8" customWidth="1"/>
    <col min="2" max="2" width="22" customWidth="1"/>
    <col min="3" max="11" width="9" customWidth="1"/>
    <col min="12" max="13" width="11" customWidth="1"/>
    <col min="14" max="14" width="13" customWidth="1"/>
  </cols>
  <sheetData>
    <row r="1" spans="1:14" ht="24.95" customHeight="1" x14ac:dyDescent="0.25">
      <c r="A1" s="17" t="s">
        <v>47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2" spans="1:14" ht="8.1" customHeight="1" x14ac:dyDescent="0.25"/>
    <row r="3" spans="1:14" ht="26.1" customHeight="1" x14ac:dyDescent="0.25">
      <c r="A3" s="1" t="s">
        <v>0</v>
      </c>
      <c r="B3" s="2" t="s">
        <v>48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</row>
    <row r="4" spans="1:14" ht="20.100000000000001" customHeight="1" x14ac:dyDescent="0.25">
      <c r="A4" s="3">
        <v>1</v>
      </c>
      <c r="B4" s="4" t="s">
        <v>49</v>
      </c>
      <c r="C4" s="5">
        <v>2</v>
      </c>
      <c r="D4" s="5">
        <v>2</v>
      </c>
      <c r="E4" s="5">
        <v>1</v>
      </c>
      <c r="F4" s="5">
        <v>3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6">
        <f t="shared" ref="L4:L18" si="0">SUM(C4:K4)</f>
        <v>8</v>
      </c>
      <c r="M4" s="7">
        <f t="shared" ref="M4:M18" si="1">L4/$L$19</f>
        <v>0.21052631578947367</v>
      </c>
      <c r="N4" s="7">
        <f>M4</f>
        <v>0.21052631578947367</v>
      </c>
    </row>
    <row r="5" spans="1:14" ht="20.100000000000001" customHeight="1" x14ac:dyDescent="0.25">
      <c r="A5" s="8">
        <v>2</v>
      </c>
      <c r="B5" s="9" t="s">
        <v>50</v>
      </c>
      <c r="C5" s="10">
        <v>0</v>
      </c>
      <c r="D5" s="10">
        <v>1</v>
      </c>
      <c r="E5" s="10">
        <v>1</v>
      </c>
      <c r="F5" s="10">
        <v>2</v>
      </c>
      <c r="G5" s="10">
        <v>1</v>
      </c>
      <c r="H5" s="10">
        <v>0</v>
      </c>
      <c r="I5" s="10">
        <v>0</v>
      </c>
      <c r="J5" s="10">
        <v>1</v>
      </c>
      <c r="K5" s="10">
        <v>0</v>
      </c>
      <c r="L5" s="11">
        <f t="shared" si="0"/>
        <v>6</v>
      </c>
      <c r="M5" s="12">
        <f t="shared" si="1"/>
        <v>0.15789473684210525</v>
      </c>
      <c r="N5" s="12">
        <f t="shared" ref="N5:N18" si="2">N4+M5</f>
        <v>0.36842105263157893</v>
      </c>
    </row>
    <row r="6" spans="1:14" ht="20.100000000000001" customHeight="1" x14ac:dyDescent="0.25">
      <c r="A6" s="3">
        <v>3</v>
      </c>
      <c r="B6" s="4" t="s">
        <v>51</v>
      </c>
      <c r="C6" s="5">
        <v>1</v>
      </c>
      <c r="D6" s="5">
        <v>0</v>
      </c>
      <c r="E6" s="5">
        <v>0</v>
      </c>
      <c r="F6" s="5">
        <v>0</v>
      </c>
      <c r="G6" s="5">
        <v>0</v>
      </c>
      <c r="H6" s="5">
        <v>1</v>
      </c>
      <c r="I6" s="5">
        <v>1</v>
      </c>
      <c r="J6" s="5">
        <v>0</v>
      </c>
      <c r="K6" s="5">
        <v>0</v>
      </c>
      <c r="L6" s="6">
        <f t="shared" si="0"/>
        <v>3</v>
      </c>
      <c r="M6" s="7">
        <f t="shared" si="1"/>
        <v>7.8947368421052627E-2</v>
      </c>
      <c r="N6" s="7">
        <f t="shared" si="2"/>
        <v>0.44736842105263153</v>
      </c>
    </row>
    <row r="7" spans="1:14" ht="20.100000000000001" customHeight="1" x14ac:dyDescent="0.25">
      <c r="A7" s="8">
        <v>4</v>
      </c>
      <c r="B7" s="9" t="s">
        <v>52</v>
      </c>
      <c r="C7" s="10">
        <v>0</v>
      </c>
      <c r="D7" s="10">
        <v>0</v>
      </c>
      <c r="E7" s="10">
        <v>0</v>
      </c>
      <c r="F7" s="10">
        <v>0</v>
      </c>
      <c r="G7" s="10">
        <v>2</v>
      </c>
      <c r="H7" s="10">
        <v>0</v>
      </c>
      <c r="I7" s="10">
        <v>0</v>
      </c>
      <c r="J7" s="10">
        <v>0</v>
      </c>
      <c r="K7" s="10">
        <v>1</v>
      </c>
      <c r="L7" s="11">
        <f t="shared" si="0"/>
        <v>3</v>
      </c>
      <c r="M7" s="12">
        <f t="shared" si="1"/>
        <v>7.8947368421052627E-2</v>
      </c>
      <c r="N7" s="12">
        <f t="shared" si="2"/>
        <v>0.52631578947368418</v>
      </c>
    </row>
    <row r="8" spans="1:14" ht="20.100000000000001" customHeight="1" x14ac:dyDescent="0.25">
      <c r="A8" s="3">
        <v>5</v>
      </c>
      <c r="B8" s="4" t="s">
        <v>53</v>
      </c>
      <c r="C8" s="5">
        <v>0</v>
      </c>
      <c r="D8" s="5">
        <v>0</v>
      </c>
      <c r="E8" s="5">
        <v>1</v>
      </c>
      <c r="F8" s="5">
        <v>0</v>
      </c>
      <c r="G8" s="5">
        <v>0</v>
      </c>
      <c r="H8" s="5">
        <v>0</v>
      </c>
      <c r="I8" s="5">
        <v>0</v>
      </c>
      <c r="J8" s="5">
        <v>2</v>
      </c>
      <c r="K8" s="5">
        <v>0</v>
      </c>
      <c r="L8" s="6">
        <f t="shared" si="0"/>
        <v>3</v>
      </c>
      <c r="M8" s="7">
        <f t="shared" si="1"/>
        <v>7.8947368421052627E-2</v>
      </c>
      <c r="N8" s="7">
        <f t="shared" si="2"/>
        <v>0.60526315789473684</v>
      </c>
    </row>
    <row r="9" spans="1:14" ht="20.100000000000001" customHeight="1" x14ac:dyDescent="0.25">
      <c r="A9" s="8">
        <v>6</v>
      </c>
      <c r="B9" s="9" t="s">
        <v>54</v>
      </c>
      <c r="C9" s="10">
        <v>0</v>
      </c>
      <c r="D9" s="10">
        <v>0</v>
      </c>
      <c r="E9" s="10">
        <v>1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1</v>
      </c>
      <c r="L9" s="11">
        <f t="shared" si="0"/>
        <v>2</v>
      </c>
      <c r="M9" s="12">
        <f t="shared" si="1"/>
        <v>5.2631578947368418E-2</v>
      </c>
      <c r="N9" s="12">
        <f t="shared" si="2"/>
        <v>0.65789473684210531</v>
      </c>
    </row>
    <row r="10" spans="1:14" ht="20.100000000000001" customHeight="1" x14ac:dyDescent="0.25">
      <c r="A10" s="3">
        <v>7</v>
      </c>
      <c r="B10" s="4" t="s">
        <v>55</v>
      </c>
      <c r="C10" s="5">
        <v>0</v>
      </c>
      <c r="D10" s="5">
        <v>1</v>
      </c>
      <c r="E10" s="5">
        <v>0</v>
      </c>
      <c r="F10" s="5">
        <v>1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6">
        <f t="shared" si="0"/>
        <v>2</v>
      </c>
      <c r="M10" s="7">
        <f t="shared" si="1"/>
        <v>5.2631578947368418E-2</v>
      </c>
      <c r="N10" s="7">
        <f t="shared" si="2"/>
        <v>0.71052631578947367</v>
      </c>
    </row>
    <row r="11" spans="1:14" ht="20.100000000000001" customHeight="1" x14ac:dyDescent="0.25">
      <c r="A11" s="8">
        <v>8</v>
      </c>
      <c r="B11" s="9" t="s">
        <v>56</v>
      </c>
      <c r="C11" s="10">
        <v>0</v>
      </c>
      <c r="D11" s="10">
        <v>0</v>
      </c>
      <c r="E11" s="10">
        <v>1</v>
      </c>
      <c r="F11" s="10">
        <v>0</v>
      </c>
      <c r="G11" s="10">
        <v>0</v>
      </c>
      <c r="H11" s="10">
        <v>0</v>
      </c>
      <c r="I11" s="10">
        <v>1</v>
      </c>
      <c r="J11" s="10">
        <v>0</v>
      </c>
      <c r="K11" s="10">
        <v>0</v>
      </c>
      <c r="L11" s="11">
        <f t="shared" si="0"/>
        <v>2</v>
      </c>
      <c r="M11" s="12">
        <f t="shared" si="1"/>
        <v>5.2631578947368418E-2</v>
      </c>
      <c r="N11" s="12">
        <f t="shared" si="2"/>
        <v>0.76315789473684204</v>
      </c>
    </row>
    <row r="12" spans="1:14" ht="20.100000000000001" customHeight="1" x14ac:dyDescent="0.25">
      <c r="A12" s="3">
        <v>9</v>
      </c>
      <c r="B12" s="4" t="s">
        <v>57</v>
      </c>
      <c r="C12" s="5">
        <v>0</v>
      </c>
      <c r="D12" s="5">
        <v>1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1</v>
      </c>
      <c r="L12" s="6">
        <f t="shared" si="0"/>
        <v>2</v>
      </c>
      <c r="M12" s="7">
        <f t="shared" si="1"/>
        <v>5.2631578947368418E-2</v>
      </c>
      <c r="N12" s="7">
        <f t="shared" si="2"/>
        <v>0.8157894736842104</v>
      </c>
    </row>
    <row r="13" spans="1:14" ht="20.100000000000001" customHeight="1" x14ac:dyDescent="0.25">
      <c r="A13" s="8">
        <v>10</v>
      </c>
      <c r="B13" s="9" t="s">
        <v>58</v>
      </c>
      <c r="C13" s="10">
        <v>0</v>
      </c>
      <c r="D13" s="10">
        <v>2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1">
        <f t="shared" si="0"/>
        <v>2</v>
      </c>
      <c r="M13" s="12">
        <f t="shared" si="1"/>
        <v>5.2631578947368418E-2</v>
      </c>
      <c r="N13" s="12">
        <f t="shared" si="2"/>
        <v>0.86842105263157876</v>
      </c>
    </row>
    <row r="14" spans="1:14" ht="20.100000000000001" customHeight="1" x14ac:dyDescent="0.25">
      <c r="A14" s="3">
        <v>11</v>
      </c>
      <c r="B14" s="4" t="s">
        <v>59</v>
      </c>
      <c r="C14" s="5">
        <v>1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6">
        <f t="shared" si="0"/>
        <v>1</v>
      </c>
      <c r="M14" s="7">
        <f t="shared" si="1"/>
        <v>2.6315789473684209E-2</v>
      </c>
      <c r="N14" s="7">
        <f t="shared" si="2"/>
        <v>0.89473684210526294</v>
      </c>
    </row>
    <row r="15" spans="1:14" ht="20.100000000000001" customHeight="1" x14ac:dyDescent="0.25">
      <c r="A15" s="8">
        <v>12</v>
      </c>
      <c r="B15" s="9" t="s">
        <v>60</v>
      </c>
      <c r="C15" s="10">
        <v>0</v>
      </c>
      <c r="D15" s="10">
        <v>0</v>
      </c>
      <c r="E15" s="10">
        <v>0</v>
      </c>
      <c r="F15" s="10">
        <v>0</v>
      </c>
      <c r="G15" s="10">
        <v>1</v>
      </c>
      <c r="H15" s="10">
        <v>0</v>
      </c>
      <c r="I15" s="10">
        <v>0</v>
      </c>
      <c r="J15" s="10">
        <v>0</v>
      </c>
      <c r="K15" s="10">
        <v>0</v>
      </c>
      <c r="L15" s="11">
        <f t="shared" si="0"/>
        <v>1</v>
      </c>
      <c r="M15" s="12">
        <f t="shared" si="1"/>
        <v>2.6315789473684209E-2</v>
      </c>
      <c r="N15" s="12">
        <f t="shared" si="2"/>
        <v>0.92105263157894712</v>
      </c>
    </row>
    <row r="16" spans="1:14" ht="20.100000000000001" customHeight="1" x14ac:dyDescent="0.25">
      <c r="A16" s="3">
        <v>13</v>
      </c>
      <c r="B16" s="4" t="s">
        <v>61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1</v>
      </c>
      <c r="K16" s="5">
        <v>0</v>
      </c>
      <c r="L16" s="6">
        <f t="shared" si="0"/>
        <v>1</v>
      </c>
      <c r="M16" s="7">
        <f t="shared" si="1"/>
        <v>2.6315789473684209E-2</v>
      </c>
      <c r="N16" s="7">
        <f t="shared" si="2"/>
        <v>0.9473684210526313</v>
      </c>
    </row>
    <row r="17" spans="1:14" ht="20.100000000000001" customHeight="1" x14ac:dyDescent="0.25">
      <c r="A17" s="8">
        <v>14</v>
      </c>
      <c r="B17" s="9" t="s">
        <v>62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1</v>
      </c>
      <c r="J17" s="10">
        <v>0</v>
      </c>
      <c r="K17" s="10">
        <v>0</v>
      </c>
      <c r="L17" s="11">
        <f t="shared" si="0"/>
        <v>1</v>
      </c>
      <c r="M17" s="12">
        <f t="shared" si="1"/>
        <v>2.6315789473684209E-2</v>
      </c>
      <c r="N17" s="12">
        <f t="shared" si="2"/>
        <v>0.97368421052631549</v>
      </c>
    </row>
    <row r="18" spans="1:14" ht="20.100000000000001" customHeight="1" x14ac:dyDescent="0.25">
      <c r="A18" s="3">
        <v>15</v>
      </c>
      <c r="B18" s="4" t="s">
        <v>63</v>
      </c>
      <c r="C18" s="5">
        <v>0</v>
      </c>
      <c r="D18" s="5">
        <v>0</v>
      </c>
      <c r="E18" s="5">
        <v>0</v>
      </c>
      <c r="F18" s="5">
        <v>0</v>
      </c>
      <c r="G18" s="5">
        <v>1</v>
      </c>
      <c r="H18" s="5">
        <v>0</v>
      </c>
      <c r="I18" s="5">
        <v>0</v>
      </c>
      <c r="J18" s="5">
        <v>0</v>
      </c>
      <c r="K18" s="5">
        <v>0</v>
      </c>
      <c r="L18" s="6">
        <f t="shared" si="0"/>
        <v>1</v>
      </c>
      <c r="M18" s="7">
        <f t="shared" si="1"/>
        <v>2.6315789473684209E-2</v>
      </c>
      <c r="N18" s="7">
        <f t="shared" si="2"/>
        <v>0.99999999999999967</v>
      </c>
    </row>
    <row r="19" spans="1:14" ht="24" customHeight="1" x14ac:dyDescent="0.25">
      <c r="A19" s="13"/>
      <c r="B19" s="14" t="s">
        <v>11</v>
      </c>
      <c r="C19" s="15">
        <f t="shared" ref="C19:M19" si="3">SUM(C4:C18)</f>
        <v>4</v>
      </c>
      <c r="D19" s="15">
        <f t="shared" si="3"/>
        <v>7</v>
      </c>
      <c r="E19" s="15">
        <f t="shared" si="3"/>
        <v>5</v>
      </c>
      <c r="F19" s="15">
        <f t="shared" si="3"/>
        <v>6</v>
      </c>
      <c r="G19" s="15">
        <f t="shared" si="3"/>
        <v>5</v>
      </c>
      <c r="H19" s="15">
        <f t="shared" si="3"/>
        <v>1</v>
      </c>
      <c r="I19" s="15">
        <f t="shared" si="3"/>
        <v>3</v>
      </c>
      <c r="J19" s="15">
        <f t="shared" si="3"/>
        <v>4</v>
      </c>
      <c r="K19" s="15">
        <f t="shared" si="3"/>
        <v>3</v>
      </c>
      <c r="L19" s="15">
        <f t="shared" si="3"/>
        <v>38</v>
      </c>
      <c r="M19" s="18">
        <v>1</v>
      </c>
      <c r="N19" s="16" t="s">
        <v>46</v>
      </c>
    </row>
  </sheetData>
  <mergeCells count="1">
    <mergeCell ref="A1:N1"/>
  </mergeCells>
  <conditionalFormatting sqref="M4:M18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{3FC4F905-6312-4F40-8FD1-79A5B1D487F3}</x14:id>
        </ext>
      </extLs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FC4F905-6312-4F40-8FD1-79A5B1D487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M4:M18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RM wise Split</vt:lpstr>
      <vt:lpstr>Branchwise Split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2026-09-28T18:04:29Z</dcterms:created>
  <dcterms:modified xsi:type="dcterms:W3CDTF">2026-09-28T18:09:10Z</dcterms:modified>
</cp:coreProperties>
</file>