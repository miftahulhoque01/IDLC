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189182C-69E0-440F-A06E-6E5DFA1F5D21}" xr6:coauthVersionLast="47" xr6:coauthVersionMax="47" xr10:uidLastSave="{00000000-0000-0000-0000-000000000000}"/>
  <bookViews>
    <workbookView xWindow="-120" yWindow="-120" windowWidth="29040" windowHeight="15840" activeTab="6" xr2:uid="{3FE53042-EAA0-40D4-ADCA-1193A5983FA5}"/>
  </bookViews>
  <sheets>
    <sheet name="Summary" sheetId="7" r:id="rId1"/>
    <sheet name="Branchwise-Foreclosure" sheetId="1" r:id="rId2"/>
    <sheet name="Branchwise-Bank_Takeover" sheetId="2" r:id="rId3"/>
    <sheet name="Initiating RM" sheetId="6" r:id="rId4"/>
    <sheet name="Interest Rate" sheetId="3" r:id="rId5"/>
    <sheet name="Product Cat" sheetId="4" r:id="rId6"/>
    <sheet name="Initiating STM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7" l="1"/>
  <c r="B11" i="7"/>
  <c r="E10" i="7"/>
  <c r="C10" i="7"/>
  <c r="E9" i="7"/>
  <c r="C9" i="7"/>
  <c r="E8" i="7"/>
  <c r="C8" i="7"/>
  <c r="E7" i="7"/>
  <c r="C7" i="7"/>
  <c r="E6" i="7"/>
  <c r="C6" i="7"/>
  <c r="E5" i="7"/>
  <c r="C5" i="7"/>
  <c r="E4" i="7"/>
  <c r="C4" i="7"/>
  <c r="E3" i="7"/>
  <c r="C3" i="7"/>
  <c r="E2" i="7"/>
  <c r="E11" i="7" s="1"/>
  <c r="C2" i="7"/>
  <c r="C11" i="7" s="1"/>
  <c r="F21" i="6"/>
  <c r="F22" i="6"/>
  <c r="F23" i="6"/>
  <c r="F24" i="6"/>
  <c r="F25" i="6"/>
  <c r="F26" i="6"/>
  <c r="F27" i="6"/>
  <c r="F28" i="6"/>
  <c r="F29" i="6"/>
  <c r="F20" i="6"/>
  <c r="F6" i="6"/>
  <c r="F7" i="6"/>
  <c r="F8" i="6"/>
  <c r="F9" i="6"/>
  <c r="F10" i="6"/>
  <c r="F11" i="6"/>
  <c r="F12" i="6"/>
  <c r="F13" i="6"/>
  <c r="F14" i="6"/>
  <c r="F5" i="6"/>
  <c r="E30" i="6"/>
  <c r="D30" i="6"/>
  <c r="E15" i="6"/>
  <c r="D15" i="6"/>
  <c r="F21" i="5"/>
  <c r="F22" i="5"/>
  <c r="F23" i="5"/>
  <c r="F24" i="5"/>
  <c r="F25" i="5"/>
  <c r="F26" i="5"/>
  <c r="F27" i="5"/>
  <c r="F28" i="5"/>
  <c r="F29" i="5"/>
  <c r="F20" i="5"/>
  <c r="F6" i="5"/>
  <c r="F7" i="5"/>
  <c r="F8" i="5"/>
  <c r="F9" i="5"/>
  <c r="F10" i="5"/>
  <c r="F11" i="5"/>
  <c r="F12" i="5"/>
  <c r="F13" i="5"/>
  <c r="F14" i="5"/>
  <c r="F5" i="5"/>
  <c r="E30" i="5"/>
  <c r="D30" i="5"/>
  <c r="E15" i="5"/>
  <c r="D15" i="5"/>
  <c r="D11" i="4"/>
  <c r="E10" i="4" s="1"/>
  <c r="B11" i="4"/>
  <c r="C7" i="4" s="1"/>
  <c r="E9" i="4"/>
  <c r="E8" i="4"/>
  <c r="E7" i="4"/>
  <c r="E5" i="4"/>
  <c r="E4" i="4"/>
  <c r="D10" i="3"/>
  <c r="B10" i="3"/>
  <c r="C8" i="3" s="1"/>
  <c r="E9" i="3"/>
  <c r="E8" i="3"/>
  <c r="E7" i="3"/>
  <c r="C7" i="3"/>
  <c r="E6" i="3"/>
  <c r="C6" i="3"/>
  <c r="E5" i="3"/>
  <c r="E4" i="3"/>
  <c r="J33" i="2"/>
  <c r="I33" i="2"/>
  <c r="H33" i="2"/>
  <c r="G33" i="2"/>
  <c r="F33" i="2"/>
  <c r="E33" i="2"/>
  <c r="D33" i="2"/>
  <c r="C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J33" i="1"/>
  <c r="I33" i="1"/>
  <c r="H33" i="1"/>
  <c r="G33" i="1"/>
  <c r="F33" i="1"/>
  <c r="E33" i="1"/>
  <c r="D33" i="1"/>
  <c r="C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F15" i="6" l="1"/>
  <c r="F30" i="6"/>
  <c r="E6" i="4"/>
  <c r="E11" i="4"/>
  <c r="C5" i="4"/>
  <c r="C9" i="4"/>
  <c r="C4" i="4"/>
  <c r="C6" i="4"/>
  <c r="C8" i="4"/>
  <c r="C10" i="4"/>
  <c r="E10" i="3"/>
  <c r="C5" i="3"/>
  <c r="C9" i="3"/>
  <c r="C4" i="3"/>
  <c r="L30" i="2"/>
  <c r="L7" i="2"/>
  <c r="L27" i="2"/>
  <c r="L29" i="2"/>
  <c r="K33" i="2"/>
  <c r="L20" i="2" s="1"/>
  <c r="K33" i="1"/>
  <c r="F15" i="5" l="1"/>
  <c r="F30" i="5"/>
  <c r="C11" i="4"/>
  <c r="C10" i="3"/>
  <c r="L21" i="2"/>
  <c r="L22" i="2"/>
  <c r="L9" i="2"/>
  <c r="L14" i="2"/>
  <c r="L19" i="2"/>
  <c r="L28" i="2"/>
  <c r="L6" i="2"/>
  <c r="L12" i="2"/>
  <c r="L4" i="2"/>
  <c r="L25" i="2"/>
  <c r="L17" i="2"/>
  <c r="L13" i="2"/>
  <c r="L26" i="2"/>
  <c r="L18" i="2"/>
  <c r="L10" i="2"/>
  <c r="L11" i="2"/>
  <c r="L31" i="2"/>
  <c r="L23" i="2"/>
  <c r="L15" i="2"/>
  <c r="L32" i="2"/>
  <c r="L24" i="2"/>
  <c r="L16" i="2"/>
  <c r="L8" i="2"/>
  <c r="L5" i="2"/>
  <c r="L14" i="1"/>
  <c r="L28" i="1"/>
  <c r="L17" i="1"/>
  <c r="L18" i="1"/>
  <c r="L30" i="1"/>
  <c r="L26" i="1"/>
  <c r="L31" i="1"/>
  <c r="L27" i="1"/>
  <c r="L23" i="1"/>
  <c r="L7" i="1"/>
  <c r="L11" i="1"/>
  <c r="L19" i="1"/>
  <c r="L15" i="1"/>
  <c r="L4" i="1"/>
  <c r="L29" i="1"/>
  <c r="L13" i="1"/>
  <c r="L22" i="1"/>
  <c r="L10" i="1"/>
  <c r="L32" i="1"/>
  <c r="L24" i="1"/>
  <c r="L12" i="1"/>
  <c r="L25" i="1"/>
  <c r="L9" i="1"/>
  <c r="L20" i="1"/>
  <c r="L8" i="1"/>
  <c r="L21" i="1"/>
  <c r="L5" i="1"/>
  <c r="L16" i="1"/>
  <c r="L6" i="1"/>
  <c r="M32" i="2" l="1"/>
  <c r="M30" i="2"/>
  <c r="M28" i="2"/>
  <c r="M26" i="2"/>
  <c r="M23" i="2"/>
  <c r="M20" i="2"/>
  <c r="M17" i="2"/>
  <c r="M13" i="2"/>
  <c r="M9" i="2"/>
  <c r="M5" i="2"/>
  <c r="M31" i="2"/>
  <c r="M27" i="2"/>
  <c r="M25" i="2"/>
  <c r="M22" i="2"/>
  <c r="M19" i="2"/>
  <c r="M16" i="2"/>
  <c r="M14" i="2"/>
  <c r="M11" i="2"/>
  <c r="M8" i="2"/>
  <c r="M6" i="2"/>
  <c r="M29" i="2"/>
  <c r="M24" i="2"/>
  <c r="M21" i="2"/>
  <c r="M18" i="2"/>
  <c r="M15" i="2"/>
  <c r="M12" i="2"/>
  <c r="M10" i="2"/>
  <c r="M7" i="2"/>
  <c r="M4" i="2"/>
  <c r="M29" i="1"/>
  <c r="M25" i="1"/>
  <c r="M21" i="1"/>
  <c r="M17" i="1"/>
  <c r="M13" i="1"/>
  <c r="M9" i="1"/>
  <c r="M5" i="1"/>
  <c r="M30" i="1"/>
  <c r="M26" i="1"/>
  <c r="M22" i="1"/>
  <c r="M32" i="1"/>
  <c r="M28" i="1"/>
  <c r="M24" i="1"/>
  <c r="M20" i="1"/>
  <c r="M16" i="1"/>
  <c r="M12" i="1"/>
  <c r="M8" i="1"/>
  <c r="M4" i="1"/>
  <c r="M31" i="1"/>
  <c r="M27" i="1"/>
  <c r="M23" i="1"/>
  <c r="M19" i="1"/>
  <c r="M15" i="1"/>
  <c r="M11" i="1"/>
  <c r="M7" i="1"/>
  <c r="M18" i="1"/>
  <c r="M14" i="1"/>
  <c r="M10" i="1"/>
  <c r="M6" i="1"/>
</calcChain>
</file>

<file path=xl/sharedStrings.xml><?xml version="1.0" encoding="utf-8"?>
<sst xmlns="http://schemas.openxmlformats.org/spreadsheetml/2006/main" count="244" uniqueCount="158">
  <si>
    <t>Rank</t>
  </si>
  <si>
    <t>Branch</t>
  </si>
  <si>
    <t>Jan</t>
  </si>
  <si>
    <t>Feb</t>
  </si>
  <si>
    <t>Mar</t>
  </si>
  <si>
    <t>Apr</t>
  </si>
  <si>
    <t>May</t>
  </si>
  <si>
    <t>Jun</t>
  </si>
  <si>
    <t>Jul</t>
  </si>
  <si>
    <t>Aug</t>
  </si>
  <si>
    <t>Total</t>
  </si>
  <si>
    <t>Share</t>
  </si>
  <si>
    <t>Cum. share</t>
  </si>
  <si>
    <t>Takeovers</t>
  </si>
  <si>
    <t>Dilkusha</t>
  </si>
  <si>
    <t>Gazipur</t>
  </si>
  <si>
    <t>Chowmuhani</t>
  </si>
  <si>
    <t>Bogra</t>
  </si>
  <si>
    <t>Keranigonj</t>
  </si>
  <si>
    <t>Tongi</t>
  </si>
  <si>
    <t>Elephant Road</t>
  </si>
  <si>
    <t>Mymensingh</t>
  </si>
  <si>
    <t>Gulshan</t>
  </si>
  <si>
    <t>Barisal</t>
  </si>
  <si>
    <t>Comilla</t>
  </si>
  <si>
    <t>Narayangonj</t>
  </si>
  <si>
    <t>Bhulta</t>
  </si>
  <si>
    <t>Natore</t>
  </si>
  <si>
    <t>Agrabad</t>
  </si>
  <si>
    <t>Jessore</t>
  </si>
  <si>
    <t>Hobiganj</t>
  </si>
  <si>
    <t>Imamganj</t>
  </si>
  <si>
    <t>Kushtia</t>
  </si>
  <si>
    <t>Sylhet</t>
  </si>
  <si>
    <t>Savar</t>
  </si>
  <si>
    <t>Rangpur</t>
  </si>
  <si>
    <t>Nandankanon</t>
  </si>
  <si>
    <t>Mirpur</t>
  </si>
  <si>
    <t>Faridpur</t>
  </si>
  <si>
    <t>Narsingdi</t>
  </si>
  <si>
    <t>Rajshahi</t>
  </si>
  <si>
    <t>Dinajpur</t>
  </si>
  <si>
    <t>Khulna</t>
  </si>
  <si>
    <t>Branches ranked by bank takeovers, month by month</t>
  </si>
  <si>
    <t>Foreclosures</t>
  </si>
  <si>
    <t>Interest-rate buckets</t>
  </si>
  <si>
    <t>Rate bucket (%)</t>
  </si>
  <si>
    <t>% of foreclosures</t>
  </si>
  <si>
    <t>% of takeovers</t>
  </si>
  <si>
    <t>Refinance (&lt;10.5)</t>
  </si>
  <si>
    <t>10.5-12</t>
  </si>
  <si>
    <t>12-14</t>
  </si>
  <si>
    <t>14-16</t>
  </si>
  <si>
    <t>16+</t>
  </si>
  <si>
    <t>Rate missing</t>
  </si>
  <si>
    <t>Product category</t>
  </si>
  <si>
    <t>Product</t>
  </si>
  <si>
    <t>SME Term Loan</t>
  </si>
  <si>
    <t>Purnota</t>
  </si>
  <si>
    <t>Seasonal</t>
  </si>
  <si>
    <t>Abashon</t>
  </si>
  <si>
    <t>CVF</t>
  </si>
  <si>
    <t>Sachal</t>
  </si>
  <si>
    <t>Lease</t>
  </si>
  <si>
    <t>Initiating STMs: top 10</t>
  </si>
  <si>
    <t>Top 10 by foreclosures</t>
  </si>
  <si>
    <t>STM</t>
  </si>
  <si>
    <t>ID</t>
  </si>
  <si>
    <t>Share of all foreclosures</t>
  </si>
  <si>
    <t>SHAHEB ALI</t>
  </si>
  <si>
    <t>155582</t>
  </si>
  <si>
    <t>Arman</t>
  </si>
  <si>
    <t>232532</t>
  </si>
  <si>
    <t>Dalilur Rahman</t>
  </si>
  <si>
    <t>171958</t>
  </si>
  <si>
    <t>Ranjan Kumar Saha</t>
  </si>
  <si>
    <t>263146</t>
  </si>
  <si>
    <t>Md. Shibli Mollik</t>
  </si>
  <si>
    <t>564666</t>
  </si>
  <si>
    <t>Nure Alom Siddik</t>
  </si>
  <si>
    <t>365312</t>
  </si>
  <si>
    <t>Rattan Kazi</t>
  </si>
  <si>
    <t>104674</t>
  </si>
  <si>
    <t>Alamgir Hussain</t>
  </si>
  <si>
    <t>232639</t>
  </si>
  <si>
    <t>Md. Golam Hozrat</t>
  </si>
  <si>
    <t>473181</t>
  </si>
  <si>
    <t>Mamun Rahman</t>
  </si>
  <si>
    <t>288763</t>
  </si>
  <si>
    <t>Top 10 combined</t>
  </si>
  <si>
    <t>Top 10 by bank takeovers</t>
  </si>
  <si>
    <t>Share of all takeovers</t>
  </si>
  <si>
    <t>Anwar Hossain</t>
  </si>
  <si>
    <t>232862</t>
  </si>
  <si>
    <t>Md Shakhawat Hossain</t>
  </si>
  <si>
    <t>384942</t>
  </si>
  <si>
    <t>Fazlul Karim</t>
  </si>
  <si>
    <t>196718</t>
  </si>
  <si>
    <t>Murad Hossain</t>
  </si>
  <si>
    <t>236195</t>
  </si>
  <si>
    <t>Muhammad Saiful Islam</t>
  </si>
  <si>
    <t>447508</t>
  </si>
  <si>
    <t>Palash Chandra Das</t>
  </si>
  <si>
    <t>230510</t>
  </si>
  <si>
    <t>Initiating RMs: top 10</t>
  </si>
  <si>
    <t>RM</t>
  </si>
  <si>
    <t>Md. Mohi Uddin Nahin</t>
  </si>
  <si>
    <t>509179</t>
  </si>
  <si>
    <t>Abu Taiub Mohammad Maidul Islam</t>
  </si>
  <si>
    <t>313836</t>
  </si>
  <si>
    <t>Mominul Islam</t>
  </si>
  <si>
    <t>354819</t>
  </si>
  <si>
    <t>Md. Iqbal Hasan</t>
  </si>
  <si>
    <t>463179</t>
  </si>
  <si>
    <t>Mahmudul Hasan</t>
  </si>
  <si>
    <t>415740</t>
  </si>
  <si>
    <t>Md. Mainul Islam</t>
  </si>
  <si>
    <t>439116</t>
  </si>
  <si>
    <t>Md. Tareq Aziz</t>
  </si>
  <si>
    <t>473085</t>
  </si>
  <si>
    <t>Sharif Hossain</t>
  </si>
  <si>
    <t>621852</t>
  </si>
  <si>
    <t>Rofikul Islam</t>
  </si>
  <si>
    <t>569405</t>
  </si>
  <si>
    <t>Mizanur Rahman</t>
  </si>
  <si>
    <t>657614</t>
  </si>
  <si>
    <t>Md. Jasim Uddin</t>
  </si>
  <si>
    <t>540905</t>
  </si>
  <si>
    <t>Golam Rafi</t>
  </si>
  <si>
    <t>558655</t>
  </si>
  <si>
    <t>Md. Nahidul Islam</t>
  </si>
  <si>
    <t>592710</t>
  </si>
  <si>
    <t>Sajib Kumar Shil</t>
  </si>
  <si>
    <t>473071</t>
  </si>
  <si>
    <t>Shamsul Alam Shams</t>
  </si>
  <si>
    <t>257703</t>
  </si>
  <si>
    <t>Prabir Mazumder</t>
  </si>
  <si>
    <t>573829</t>
  </si>
  <si>
    <t>Sultan Ahamed</t>
  </si>
  <si>
    <t>234173</t>
  </si>
  <si>
    <t>Dilruba Yesmin</t>
  </si>
  <si>
    <t>217333</t>
  </si>
  <si>
    <t>Mafujur Rahman</t>
  </si>
  <si>
    <t>281814</t>
  </si>
  <si>
    <t>Branches ranked by foreclosures, month on month</t>
  </si>
  <si>
    <t>Month</t>
  </si>
  <si>
    <t>BankTakeover_Accounts</t>
  </si>
  <si>
    <t>BankTakeover_Percentage</t>
  </si>
  <si>
    <t>Foreclosure_Accounts</t>
  </si>
  <si>
    <t>Foreclosure_Percentage</t>
  </si>
  <si>
    <t>January</t>
  </si>
  <si>
    <t>February</t>
  </si>
  <si>
    <t>March</t>
  </si>
  <si>
    <t>April</t>
  </si>
  <si>
    <t>June</t>
  </si>
  <si>
    <t>July</t>
  </si>
  <si>
    <t>August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</si>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</sst>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1F3A5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name val="Arial"/>
      <family val="2"/>
    </font>
    <font>
      <b/>
      <sz val="14"/>
      <color rgb="FF1F3A5F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b/>
      <sz val="11"/>
      <color rgb="FF1F3A5F"/>
      <name val="Arial"/>
      <family val="2"/>
    </font>
    <font>
      <b/>
      <sz val="11"/>
      <color rgb="FF1F3A5F"/>
      <name val="Arial"/>
      <charset val="1"/>
    </font>
    <font>
      <b/>
      <i/>
      <sz val="11"/>
      <color theme="1"/>
      <name val="IDLC"/>
    </font>
    <font>
      <b/>
      <sz val="11"/>
      <color theme="1"/>
      <name val="IDLC"/>
    </font>
    <font>
      <sz val="11"/>
      <color theme="1"/>
      <name val="IDLC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DEE4"/>
      </bottom>
      <diagonal/>
    </border>
    <border>
      <left/>
      <right/>
      <top style="medium">
        <color rgb="FF1F3A5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164" fontId="5" fillId="0" borderId="1" xfId="0" applyNumberFormat="1" applyFont="1" applyBorder="1"/>
    <xf numFmtId="9" fontId="5" fillId="0" borderId="1" xfId="0" applyNumberFormat="1" applyFont="1" applyBorder="1"/>
    <xf numFmtId="0" fontId="6" fillId="0" borderId="2" xfId="0" applyFont="1" applyBorder="1" applyAlignment="1">
      <alignment horizontal="center"/>
    </xf>
    <xf numFmtId="0" fontId="6" fillId="0" borderId="2" xfId="0" applyFont="1" applyBorder="1"/>
    <xf numFmtId="164" fontId="6" fillId="0" borderId="2" xfId="0" applyNumberFormat="1" applyFont="1" applyBorder="1"/>
    <xf numFmtId="9" fontId="6" fillId="0" borderId="2" xfId="0" applyNumberFormat="1" applyFont="1" applyBorder="1"/>
    <xf numFmtId="0" fontId="9" fillId="2" borderId="0" xfId="0" applyFont="1" applyFill="1" applyAlignment="1">
      <alignment horizontal="center" vertical="center" wrapText="1"/>
    </xf>
    <xf numFmtId="0" fontId="7" fillId="0" borderId="1" xfId="0" applyFont="1" applyBorder="1"/>
    <xf numFmtId="164" fontId="7" fillId="0" borderId="1" xfId="0" applyNumberFormat="1" applyFont="1" applyBorder="1"/>
    <xf numFmtId="9" fontId="7" fillId="0" borderId="1" xfId="0" applyNumberFormat="1" applyFont="1" applyBorder="1"/>
    <xf numFmtId="0" fontId="10" fillId="0" borderId="2" xfId="0" applyFont="1" applyBorder="1"/>
    <xf numFmtId="164" fontId="10" fillId="0" borderId="2" xfId="0" applyNumberFormat="1" applyFont="1" applyBorder="1"/>
    <xf numFmtId="9" fontId="10" fillId="0" borderId="2" xfId="0" applyNumberFormat="1" applyFont="1" applyBorder="1"/>
    <xf numFmtId="0" fontId="8" fillId="0" borderId="0" xfId="0" applyFont="1" applyAlignment="1">
      <alignment horizontal="center"/>
    </xf>
    <xf numFmtId="0" fontId="11" fillId="0" borderId="0" xfId="0" applyFont="1"/>
    <xf numFmtId="0" fontId="7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2" fillId="0" borderId="0" xfId="0" applyFont="1"/>
    <xf numFmtId="0" fontId="3" fillId="0" borderId="0" xfId="0" applyFont="1" applyAlignment="1">
      <alignment horizontal="center"/>
    </xf>
    <xf numFmtId="0" fontId="13" fillId="3" borderId="3" xfId="0" applyFont="1" applyFill="1" applyBorder="1" applyAlignment="1">
      <alignment horizontal="center" vertical="center"/>
    </xf>
    <xf numFmtId="0" fontId="14" fillId="0" borderId="0" xfId="0" applyFont="1"/>
    <xf numFmtId="0" fontId="15" fillId="0" borderId="0" xfId="0" applyFont="1"/>
    <xf numFmtId="10" fontId="15" fillId="0" borderId="0" xfId="1" applyNumberFormat="1" applyFont="1"/>
    <xf numFmtId="0" fontId="2" fillId="0" borderId="0" xfId="0" applyFont="1"/>
    <xf numFmtId="9" fontId="2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0533282726443394E-2"/>
          <c:y val="3.0811718388142659E-2"/>
          <c:w val="0.92946671727355656"/>
          <c:h val="0.85166111545998269"/>
        </c:manualLayout>
      </c:layout>
      <c:lineChart>
        <c:grouping val="standard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BankTakeover_Percentage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Summary!$A$2:$A$10</c:f>
              <c:strCache>
                <c:ptCount val="9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</c:strCache>
            </c:strRef>
          </c:cat>
          <c:val>
            <c:numRef>
              <c:f>Summary!$C$2:$C$10</c:f>
              <c:numCache>
                <c:formatCode>0.00%</c:formatCode>
                <c:ptCount val="9"/>
                <c:pt idx="0">
                  <c:v>0.16513761467889909</c:v>
                </c:pt>
                <c:pt idx="1">
                  <c:v>7.3394495412844041E-2</c:v>
                </c:pt>
                <c:pt idx="2">
                  <c:v>0.11009174311926606</c:v>
                </c:pt>
                <c:pt idx="3">
                  <c:v>0.14678899082568808</c:v>
                </c:pt>
                <c:pt idx="4">
                  <c:v>0.13761467889908258</c:v>
                </c:pt>
                <c:pt idx="5">
                  <c:v>0.15596330275229359</c:v>
                </c:pt>
                <c:pt idx="6">
                  <c:v>5.5045871559633031E-2</c:v>
                </c:pt>
                <c:pt idx="7">
                  <c:v>8.2568807339449546E-2</c:v>
                </c:pt>
                <c:pt idx="8">
                  <c:v>7.3394495412844041E-2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14-4391-A2A2-9567847B9099}"/>
            </c:ext>
          </c:extLst>
        </c:ser>
        <c:ser>
          <c:idx val="1"/>
          <c:order val="1"/>
          <c:tx>
            <c:strRef>
              <c:f>Summary!$E$1</c:f>
              <c:strCache>
                <c:ptCount val="1"/>
                <c:pt idx="0">
                  <c:v>Foreclosure_Percentage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Summary!$A$2:$A$10</c:f>
              <c:strCache>
                <c:ptCount val="9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</c:strCache>
            </c:strRef>
          </c:cat>
          <c:val>
            <c:numRef>
              <c:f>Summary!$E$2:$E$10</c:f>
              <c:numCache>
                <c:formatCode>0.00%</c:formatCode>
                <c:ptCount val="9"/>
                <c:pt idx="0">
                  <c:v>0.11139896373056994</c:v>
                </c:pt>
                <c:pt idx="1">
                  <c:v>9.1191709844559585E-2</c:v>
                </c:pt>
                <c:pt idx="2">
                  <c:v>0.12124352331606218</c:v>
                </c:pt>
                <c:pt idx="3">
                  <c:v>0.13626943005181347</c:v>
                </c:pt>
                <c:pt idx="4">
                  <c:v>0.11968911917098446</c:v>
                </c:pt>
                <c:pt idx="5">
                  <c:v>0.10673575129533679</c:v>
                </c:pt>
                <c:pt idx="6">
                  <c:v>0.11450777202072539</c:v>
                </c:pt>
                <c:pt idx="7">
                  <c:v>0.11139896373056994</c:v>
                </c:pt>
                <c:pt idx="8">
                  <c:v>8.7564766839378236E-2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14-4391-A2A2-9567847B909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4659775"/>
        <c:axId val="1692843615"/>
      </c:lineChart>
      <c:catAx>
        <c:axId val="1446597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843615"/>
        <c:crosses val="autoZero"/>
        <c:auto val="1"/>
        <c:lblAlgn val="ctr"/>
        <c:lblOffset val="100"/>
        <c:noMultiLvlLbl val="0"/>
      </c:catAx>
      <c:valAx>
        <c:axId val="1692843615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5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200024</xdr:colOff>
      <xdr:row>14</xdr:row>
      <xdr:rowOff>47625</xdr:rowOff>
    </xdr:from>
    <xdr:to>
      <xdr:col>5</xdr:col>
      <xdr:colOff>28576</xdr:colOff>
      <xdr:row>41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0299FAF-2968-1703-CEC3-2660FA9336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BACF7-F15F-467F-A6E6-477AE56FBF88}">
  <dimension ref="A1:E11"/>
  <sheetViews>
    <sheetView topLeftCell="A4" workbookViewId="0">
      <selection activeCell="F26" sqref="F26"/>
    </sheetView>
  </sheetViews>
  <sheetFormatPr defaultRowHeight="15"/>
  <cols>
    <col min="1" max="1" width="11.28515625" bestFit="1" customWidth="1"/>
    <col min="2" max="2" width="27.140625" bestFit="1" customWidth="1"/>
    <col min="3" max="3" width="28.85546875" bestFit="1" customWidth="1"/>
    <col min="4" max="4" width="24.7109375" bestFit="1" customWidth="1"/>
    <col min="5" max="6" width="26.5703125" bestFit="1" customWidth="1"/>
  </cols>
  <sheetData>
    <row r="1" spans="1:5" ht="23.25" customHeight="1">
      <c r="A1" s="23" t="s">
        <v>145</v>
      </c>
      <c r="B1" s="23" t="s">
        <v>146</v>
      </c>
      <c r="C1" s="23" t="s">
        <v>147</v>
      </c>
      <c r="D1" s="23" t="s">
        <v>148</v>
      </c>
      <c r="E1" s="23" t="s">
        <v>149</v>
      </c>
    </row>
    <row r="2" spans="1:5">
      <c r="A2" s="25" t="s">
        <v>150</v>
      </c>
      <c r="B2" s="25">
        <v>18</v>
      </c>
      <c r="C2" s="26">
        <f>B2/109</f>
        <v>0.16513761467889909</v>
      </c>
      <c r="D2" s="25">
        <v>215</v>
      </c>
      <c r="E2" s="26">
        <f>D2/1930</f>
        <v>0.11139896373056994</v>
      </c>
    </row>
    <row r="3" spans="1:5">
      <c r="A3" s="25" t="s">
        <v>151</v>
      </c>
      <c r="B3" s="25">
        <v>8</v>
      </c>
      <c r="C3" s="26">
        <f t="shared" ref="C3:C10" si="0">B3/109</f>
        <v>7.3394495412844041E-2</v>
      </c>
      <c r="D3" s="25">
        <v>176</v>
      </c>
      <c r="E3" s="26">
        <f t="shared" ref="E3:E10" si="1">D3/1930</f>
        <v>9.1191709844559585E-2</v>
      </c>
    </row>
    <row r="4" spans="1:5">
      <c r="A4" s="25" t="s">
        <v>152</v>
      </c>
      <c r="B4" s="25">
        <v>12</v>
      </c>
      <c r="C4" s="26">
        <f t="shared" si="0"/>
        <v>0.11009174311926606</v>
      </c>
      <c r="D4" s="25">
        <v>234</v>
      </c>
      <c r="E4" s="26">
        <f t="shared" si="1"/>
        <v>0.12124352331606218</v>
      </c>
    </row>
    <row r="5" spans="1:5">
      <c r="A5" s="25" t="s">
        <v>153</v>
      </c>
      <c r="B5" s="25">
        <v>16</v>
      </c>
      <c r="C5" s="26">
        <f t="shared" si="0"/>
        <v>0.14678899082568808</v>
      </c>
      <c r="D5" s="25">
        <v>263</v>
      </c>
      <c r="E5" s="26">
        <f t="shared" si="1"/>
        <v>0.13626943005181347</v>
      </c>
    </row>
    <row r="6" spans="1:5">
      <c r="A6" s="25" t="s">
        <v>6</v>
      </c>
      <c r="B6" s="25">
        <v>15</v>
      </c>
      <c r="C6" s="26">
        <f t="shared" si="0"/>
        <v>0.13761467889908258</v>
      </c>
      <c r="D6" s="25">
        <v>231</v>
      </c>
      <c r="E6" s="26">
        <f t="shared" si="1"/>
        <v>0.11968911917098446</v>
      </c>
    </row>
    <row r="7" spans="1:5">
      <c r="A7" s="25" t="s">
        <v>154</v>
      </c>
      <c r="B7" s="25">
        <v>17</v>
      </c>
      <c r="C7" s="26">
        <f t="shared" si="0"/>
        <v>0.15596330275229359</v>
      </c>
      <c r="D7" s="25">
        <v>206</v>
      </c>
      <c r="E7" s="26">
        <f t="shared" si="1"/>
        <v>0.10673575129533679</v>
      </c>
    </row>
    <row r="8" spans="1:5">
      <c r="A8" s="25" t="s">
        <v>155</v>
      </c>
      <c r="B8" s="25">
        <v>6</v>
      </c>
      <c r="C8" s="26">
        <f t="shared" si="0"/>
        <v>5.5045871559633031E-2</v>
      </c>
      <c r="D8" s="25">
        <v>221</v>
      </c>
      <c r="E8" s="26">
        <f t="shared" si="1"/>
        <v>0.11450777202072539</v>
      </c>
    </row>
    <row r="9" spans="1:5">
      <c r="A9" s="25" t="s">
        <v>156</v>
      </c>
      <c r="B9" s="25">
        <v>9</v>
      </c>
      <c r="C9" s="26">
        <f t="shared" si="0"/>
        <v>8.2568807339449546E-2</v>
      </c>
      <c r="D9" s="25">
        <v>215</v>
      </c>
      <c r="E9" s="26">
        <f t="shared" si="1"/>
        <v>0.11139896373056994</v>
      </c>
    </row>
    <row r="10" spans="1:5">
      <c r="A10" s="25" t="s">
        <v>157</v>
      </c>
      <c r="B10" s="25">
        <v>8</v>
      </c>
      <c r="C10" s="26">
        <f t="shared" si="0"/>
        <v>7.3394495412844041E-2</v>
      </c>
      <c r="D10" s="25">
        <v>169</v>
      </c>
      <c r="E10" s="26">
        <f t="shared" si="1"/>
        <v>8.7564766839378236E-2</v>
      </c>
    </row>
    <row r="11" spans="1:5">
      <c r="A11" s="24" t="s">
        <v>10</v>
      </c>
      <c r="B11" s="27">
        <f>SUM(B2:B10)</f>
        <v>109</v>
      </c>
      <c r="C11" s="28">
        <f>SUM(C2:C10)</f>
        <v>1</v>
      </c>
      <c r="D11" s="27">
        <f>SUM(D2:D10)</f>
        <v>1930</v>
      </c>
      <c r="E11" s="28">
        <f>SUM(E2:E10)</f>
        <v>0.99999999999999978</v>
      </c>
    </row>
  </sheetData>
  <phoneticPr fontId="16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F0925-A7A4-4193-9313-B148415B13B8}">
  <dimension ref="A1:M33"/>
  <sheetViews>
    <sheetView workbookViewId="0">
      <selection activeCell="W8" sqref="W8"/>
    </sheetView>
  </sheetViews>
  <sheetFormatPr defaultRowHeight="15"/>
  <cols>
    <col min="1" max="1" width="6" customWidth="1"/>
    <col min="2" max="2" width="16" customWidth="1"/>
    <col min="3" max="10" width="7" customWidth="1"/>
    <col min="11" max="12" width="9" customWidth="1"/>
    <col min="13" max="13" width="10" customWidth="1"/>
  </cols>
  <sheetData>
    <row r="1" spans="1:13" ht="18">
      <c r="A1" s="22" t="s">
        <v>144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3" spans="1:13" ht="25.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</row>
    <row r="4" spans="1:13">
      <c r="A4" s="2">
        <v>1</v>
      </c>
      <c r="B4" s="3" t="s">
        <v>14</v>
      </c>
      <c r="C4" s="3">
        <v>24</v>
      </c>
      <c r="D4" s="3">
        <v>17</v>
      </c>
      <c r="E4" s="3">
        <v>28</v>
      </c>
      <c r="F4" s="3">
        <v>33</v>
      </c>
      <c r="G4" s="3">
        <v>20</v>
      </c>
      <c r="H4" s="3">
        <v>22</v>
      </c>
      <c r="I4" s="3">
        <v>20</v>
      </c>
      <c r="J4" s="3">
        <v>17</v>
      </c>
      <c r="K4" s="3">
        <f t="shared" ref="K4:K32" si="0">SUM(C4:J4)</f>
        <v>181</v>
      </c>
      <c r="L4" s="4">
        <f t="shared" ref="L4:L32" si="1">IFERROR(K4/$K$33,0)</f>
        <v>0.10278250993753549</v>
      </c>
      <c r="M4" s="5">
        <f>SUM($L$4:L4)</f>
        <v>0.10278250993753549</v>
      </c>
    </row>
    <row r="5" spans="1:13">
      <c r="A5" s="2">
        <v>2</v>
      </c>
      <c r="B5" s="3" t="s">
        <v>15</v>
      </c>
      <c r="C5" s="3">
        <v>15</v>
      </c>
      <c r="D5" s="3">
        <v>4</v>
      </c>
      <c r="E5" s="3">
        <v>13</v>
      </c>
      <c r="F5" s="3">
        <v>15</v>
      </c>
      <c r="G5" s="3">
        <v>14</v>
      </c>
      <c r="H5" s="3">
        <v>19</v>
      </c>
      <c r="I5" s="3">
        <v>17</v>
      </c>
      <c r="J5" s="3">
        <v>15</v>
      </c>
      <c r="K5" s="3">
        <f t="shared" si="0"/>
        <v>112</v>
      </c>
      <c r="L5" s="4">
        <f t="shared" si="1"/>
        <v>6.3600227143668364E-2</v>
      </c>
      <c r="M5" s="5">
        <f>SUM($L$4:L5)</f>
        <v>0.16638273708120385</v>
      </c>
    </row>
    <row r="6" spans="1:13">
      <c r="A6" s="2">
        <v>3</v>
      </c>
      <c r="B6" s="3" t="s">
        <v>16</v>
      </c>
      <c r="C6" s="3">
        <v>13</v>
      </c>
      <c r="D6" s="3">
        <v>13</v>
      </c>
      <c r="E6" s="3">
        <v>12</v>
      </c>
      <c r="F6" s="3">
        <v>10</v>
      </c>
      <c r="G6" s="3">
        <v>13</v>
      </c>
      <c r="H6" s="3">
        <v>9</v>
      </c>
      <c r="I6" s="3">
        <v>8</v>
      </c>
      <c r="J6" s="3">
        <v>16</v>
      </c>
      <c r="K6" s="3">
        <f t="shared" si="0"/>
        <v>94</v>
      </c>
      <c r="L6" s="4">
        <f t="shared" si="1"/>
        <v>5.3378762067007382E-2</v>
      </c>
      <c r="M6" s="5">
        <f>SUM($L$4:L6)</f>
        <v>0.21976149914821125</v>
      </c>
    </row>
    <row r="7" spans="1:13">
      <c r="A7" s="2">
        <v>4</v>
      </c>
      <c r="B7" s="3" t="s">
        <v>17</v>
      </c>
      <c r="C7" s="3">
        <v>8</v>
      </c>
      <c r="D7" s="3">
        <v>6</v>
      </c>
      <c r="E7" s="3">
        <v>9</v>
      </c>
      <c r="F7" s="3">
        <v>18</v>
      </c>
      <c r="G7" s="3">
        <v>12</v>
      </c>
      <c r="H7" s="3">
        <v>13</v>
      </c>
      <c r="I7" s="3">
        <v>15</v>
      </c>
      <c r="J7" s="3">
        <v>13</v>
      </c>
      <c r="K7" s="3">
        <f t="shared" si="0"/>
        <v>94</v>
      </c>
      <c r="L7" s="4">
        <f t="shared" si="1"/>
        <v>5.3378762067007382E-2</v>
      </c>
      <c r="M7" s="5">
        <f>SUM($L$4:L7)</f>
        <v>0.27314026121521862</v>
      </c>
    </row>
    <row r="8" spans="1:13">
      <c r="A8" s="2">
        <v>5</v>
      </c>
      <c r="B8" s="3" t="s">
        <v>18</v>
      </c>
      <c r="C8" s="3">
        <v>7</v>
      </c>
      <c r="D8" s="3">
        <v>13</v>
      </c>
      <c r="E8" s="3">
        <v>34</v>
      </c>
      <c r="F8" s="3">
        <v>17</v>
      </c>
      <c r="G8" s="3">
        <v>5</v>
      </c>
      <c r="H8" s="3">
        <v>5</v>
      </c>
      <c r="I8" s="3">
        <v>6</v>
      </c>
      <c r="J8" s="3">
        <v>4</v>
      </c>
      <c r="K8" s="3">
        <f t="shared" si="0"/>
        <v>91</v>
      </c>
      <c r="L8" s="4">
        <f t="shared" si="1"/>
        <v>5.1675184554230549E-2</v>
      </c>
      <c r="M8" s="5">
        <f>SUM($L$4:L8)</f>
        <v>0.32481544576944915</v>
      </c>
    </row>
    <row r="9" spans="1:13">
      <c r="A9" s="2">
        <v>6</v>
      </c>
      <c r="B9" s="3" t="s">
        <v>19</v>
      </c>
      <c r="C9" s="3">
        <v>10</v>
      </c>
      <c r="D9" s="3">
        <v>3</v>
      </c>
      <c r="E9" s="3">
        <v>12</v>
      </c>
      <c r="F9" s="3">
        <v>8</v>
      </c>
      <c r="G9" s="3">
        <v>13</v>
      </c>
      <c r="H9" s="3">
        <v>11</v>
      </c>
      <c r="I9" s="3">
        <v>15</v>
      </c>
      <c r="J9" s="3">
        <v>13</v>
      </c>
      <c r="K9" s="3">
        <f t="shared" si="0"/>
        <v>85</v>
      </c>
      <c r="L9" s="4">
        <f t="shared" si="1"/>
        <v>4.8268029528676891E-2</v>
      </c>
      <c r="M9" s="5">
        <f>SUM($L$4:L9)</f>
        <v>0.37308347529812602</v>
      </c>
    </row>
    <row r="10" spans="1:13">
      <c r="A10" s="2">
        <v>7</v>
      </c>
      <c r="B10" s="3" t="s">
        <v>20</v>
      </c>
      <c r="C10" s="3">
        <v>8</v>
      </c>
      <c r="D10" s="3">
        <v>14</v>
      </c>
      <c r="E10" s="3">
        <v>9</v>
      </c>
      <c r="F10" s="3">
        <v>8</v>
      </c>
      <c r="G10" s="3">
        <v>10</v>
      </c>
      <c r="H10" s="3">
        <v>7</v>
      </c>
      <c r="I10" s="3">
        <v>13</v>
      </c>
      <c r="J10" s="3">
        <v>12</v>
      </c>
      <c r="K10" s="3">
        <f t="shared" si="0"/>
        <v>81</v>
      </c>
      <c r="L10" s="4">
        <f t="shared" si="1"/>
        <v>4.5996592844974447E-2</v>
      </c>
      <c r="M10" s="5">
        <f>SUM($L$4:L10)</f>
        <v>0.41908006814310045</v>
      </c>
    </row>
    <row r="11" spans="1:13">
      <c r="A11" s="2">
        <v>8</v>
      </c>
      <c r="B11" s="3" t="s">
        <v>21</v>
      </c>
      <c r="C11" s="3">
        <v>12</v>
      </c>
      <c r="D11" s="3">
        <v>8</v>
      </c>
      <c r="E11" s="3">
        <v>5</v>
      </c>
      <c r="F11" s="3">
        <v>12</v>
      </c>
      <c r="G11" s="3">
        <v>13</v>
      </c>
      <c r="H11" s="3">
        <v>7</v>
      </c>
      <c r="I11" s="3">
        <v>13</v>
      </c>
      <c r="J11" s="3">
        <v>7</v>
      </c>
      <c r="K11" s="3">
        <f t="shared" si="0"/>
        <v>77</v>
      </c>
      <c r="L11" s="4">
        <f t="shared" si="1"/>
        <v>4.3725156161272004E-2</v>
      </c>
      <c r="M11" s="5">
        <f>SUM($L$4:L11)</f>
        <v>0.46280522430437243</v>
      </c>
    </row>
    <row r="12" spans="1:13">
      <c r="A12" s="2">
        <v>9</v>
      </c>
      <c r="B12" s="3" t="s">
        <v>22</v>
      </c>
      <c r="C12" s="3">
        <v>8</v>
      </c>
      <c r="D12" s="3">
        <v>6</v>
      </c>
      <c r="E12" s="3">
        <v>5</v>
      </c>
      <c r="F12" s="3">
        <v>7</v>
      </c>
      <c r="G12" s="3">
        <v>9</v>
      </c>
      <c r="H12" s="3">
        <v>10</v>
      </c>
      <c r="I12" s="3">
        <v>7</v>
      </c>
      <c r="J12" s="3">
        <v>11</v>
      </c>
      <c r="K12" s="3">
        <f t="shared" si="0"/>
        <v>63</v>
      </c>
      <c r="L12" s="4">
        <f t="shared" si="1"/>
        <v>3.5775127768313458E-2</v>
      </c>
      <c r="M12" s="5">
        <f>SUM($L$4:L12)</f>
        <v>0.49858035207268592</v>
      </c>
    </row>
    <row r="13" spans="1:13">
      <c r="A13" s="2">
        <v>10</v>
      </c>
      <c r="B13" s="3" t="s">
        <v>23</v>
      </c>
      <c r="C13" s="3">
        <v>10</v>
      </c>
      <c r="D13" s="3">
        <v>10</v>
      </c>
      <c r="E13" s="3">
        <v>8</v>
      </c>
      <c r="F13" s="3">
        <v>6</v>
      </c>
      <c r="G13" s="3">
        <v>6</v>
      </c>
      <c r="H13" s="3">
        <v>5</v>
      </c>
      <c r="I13" s="3">
        <v>8</v>
      </c>
      <c r="J13" s="3">
        <v>7</v>
      </c>
      <c r="K13" s="3">
        <f t="shared" si="0"/>
        <v>60</v>
      </c>
      <c r="L13" s="4">
        <f t="shared" si="1"/>
        <v>3.4071550255536626E-2</v>
      </c>
      <c r="M13" s="5">
        <f>SUM($L$4:L13)</f>
        <v>0.53265190232822257</v>
      </c>
    </row>
    <row r="14" spans="1:13">
      <c r="A14" s="2">
        <v>11</v>
      </c>
      <c r="B14" s="3" t="s">
        <v>24</v>
      </c>
      <c r="C14" s="3">
        <v>6</v>
      </c>
      <c r="D14" s="3">
        <v>3</v>
      </c>
      <c r="E14" s="3">
        <v>7</v>
      </c>
      <c r="F14" s="3">
        <v>14</v>
      </c>
      <c r="G14" s="3">
        <v>6</v>
      </c>
      <c r="H14" s="3">
        <v>6</v>
      </c>
      <c r="I14" s="3">
        <v>12</v>
      </c>
      <c r="J14" s="3">
        <v>6</v>
      </c>
      <c r="K14" s="3">
        <f t="shared" si="0"/>
        <v>60</v>
      </c>
      <c r="L14" s="4">
        <f t="shared" si="1"/>
        <v>3.4071550255536626E-2</v>
      </c>
      <c r="M14" s="5">
        <f>SUM($L$4:L14)</f>
        <v>0.56672345258375922</v>
      </c>
    </row>
    <row r="15" spans="1:13">
      <c r="A15" s="2">
        <v>12</v>
      </c>
      <c r="B15" s="3" t="s">
        <v>25</v>
      </c>
      <c r="C15" s="3">
        <v>5</v>
      </c>
      <c r="D15" s="3">
        <v>4</v>
      </c>
      <c r="E15" s="3">
        <v>10</v>
      </c>
      <c r="F15" s="3">
        <v>7</v>
      </c>
      <c r="G15" s="3">
        <v>13</v>
      </c>
      <c r="H15" s="3">
        <v>4</v>
      </c>
      <c r="I15" s="3">
        <v>3</v>
      </c>
      <c r="J15" s="3">
        <v>11</v>
      </c>
      <c r="K15" s="3">
        <f t="shared" si="0"/>
        <v>57</v>
      </c>
      <c r="L15" s="4">
        <f t="shared" si="1"/>
        <v>3.2367972742759793E-2</v>
      </c>
      <c r="M15" s="5">
        <f>SUM($L$4:L15)</f>
        <v>0.59909142532651904</v>
      </c>
    </row>
    <row r="16" spans="1:13">
      <c r="A16" s="2">
        <v>13</v>
      </c>
      <c r="B16" s="3" t="s">
        <v>26</v>
      </c>
      <c r="C16" s="3">
        <v>5</v>
      </c>
      <c r="D16" s="3">
        <v>6</v>
      </c>
      <c r="E16" s="3">
        <v>5</v>
      </c>
      <c r="F16" s="3">
        <v>10</v>
      </c>
      <c r="G16" s="3">
        <v>11</v>
      </c>
      <c r="H16" s="3">
        <v>5</v>
      </c>
      <c r="I16" s="3">
        <v>5</v>
      </c>
      <c r="J16" s="3">
        <v>10</v>
      </c>
      <c r="K16" s="3">
        <f t="shared" si="0"/>
        <v>57</v>
      </c>
      <c r="L16" s="4">
        <f t="shared" si="1"/>
        <v>3.2367972742759793E-2</v>
      </c>
      <c r="M16" s="5">
        <f>SUM($L$4:L16)</f>
        <v>0.63145939806927887</v>
      </c>
    </row>
    <row r="17" spans="1:13">
      <c r="A17" s="2">
        <v>14</v>
      </c>
      <c r="B17" s="3" t="s">
        <v>27</v>
      </c>
      <c r="C17" s="3">
        <v>5</v>
      </c>
      <c r="D17" s="3">
        <v>4</v>
      </c>
      <c r="E17" s="3">
        <v>9</v>
      </c>
      <c r="F17" s="3">
        <v>7</v>
      </c>
      <c r="G17" s="3">
        <v>6</v>
      </c>
      <c r="H17" s="3">
        <v>8</v>
      </c>
      <c r="I17" s="3">
        <v>8</v>
      </c>
      <c r="J17" s="3">
        <v>9</v>
      </c>
      <c r="K17" s="3">
        <f t="shared" si="0"/>
        <v>56</v>
      </c>
      <c r="L17" s="4">
        <f t="shared" si="1"/>
        <v>3.1800113571834182E-2</v>
      </c>
      <c r="M17" s="5">
        <f>SUM($L$4:L17)</f>
        <v>0.66325951164111308</v>
      </c>
    </row>
    <row r="18" spans="1:13">
      <c r="A18" s="2">
        <v>15</v>
      </c>
      <c r="B18" s="3" t="s">
        <v>28</v>
      </c>
      <c r="C18" s="3">
        <v>7</v>
      </c>
      <c r="D18" s="3">
        <v>5</v>
      </c>
      <c r="E18" s="3">
        <v>6</v>
      </c>
      <c r="F18" s="3">
        <v>9</v>
      </c>
      <c r="G18" s="3">
        <v>4</v>
      </c>
      <c r="H18" s="3">
        <v>10</v>
      </c>
      <c r="I18" s="3">
        <v>7</v>
      </c>
      <c r="J18" s="3">
        <v>6</v>
      </c>
      <c r="K18" s="3">
        <f t="shared" si="0"/>
        <v>54</v>
      </c>
      <c r="L18" s="4">
        <f t="shared" si="1"/>
        <v>3.0664395229982964E-2</v>
      </c>
      <c r="M18" s="5">
        <f>SUM($L$4:L18)</f>
        <v>0.69392390687109606</v>
      </c>
    </row>
    <row r="19" spans="1:13">
      <c r="A19" s="2">
        <v>16</v>
      </c>
      <c r="B19" s="3" t="s">
        <v>29</v>
      </c>
      <c r="C19" s="3">
        <v>8</v>
      </c>
      <c r="D19" s="3">
        <v>9</v>
      </c>
      <c r="E19" s="3">
        <v>7</v>
      </c>
      <c r="F19" s="3">
        <v>3</v>
      </c>
      <c r="G19" s="3">
        <v>7</v>
      </c>
      <c r="H19" s="3">
        <v>9</v>
      </c>
      <c r="I19" s="3">
        <v>3</v>
      </c>
      <c r="J19" s="3">
        <v>7</v>
      </c>
      <c r="K19" s="3">
        <f t="shared" si="0"/>
        <v>53</v>
      </c>
      <c r="L19" s="4">
        <f t="shared" si="1"/>
        <v>3.0096536059057353E-2</v>
      </c>
      <c r="M19" s="5">
        <f>SUM($L$4:L19)</f>
        <v>0.72402044293015344</v>
      </c>
    </row>
    <row r="20" spans="1:13">
      <c r="A20" s="2">
        <v>17</v>
      </c>
      <c r="B20" s="3" t="s">
        <v>30</v>
      </c>
      <c r="C20" s="3">
        <v>10</v>
      </c>
      <c r="D20" s="3">
        <v>5</v>
      </c>
      <c r="E20" s="3">
        <v>7</v>
      </c>
      <c r="F20" s="3">
        <v>7</v>
      </c>
      <c r="G20" s="3">
        <v>4</v>
      </c>
      <c r="H20" s="3">
        <v>12</v>
      </c>
      <c r="I20" s="3">
        <v>3</v>
      </c>
      <c r="J20" s="3">
        <v>3</v>
      </c>
      <c r="K20" s="3">
        <f t="shared" si="0"/>
        <v>51</v>
      </c>
      <c r="L20" s="4">
        <f t="shared" si="1"/>
        <v>2.8960817717206135E-2</v>
      </c>
      <c r="M20" s="5">
        <f>SUM($L$4:L20)</f>
        <v>0.7529812606473596</v>
      </c>
    </row>
    <row r="21" spans="1:13">
      <c r="A21" s="2">
        <v>18</v>
      </c>
      <c r="B21" s="3" t="s">
        <v>31</v>
      </c>
      <c r="C21" s="3">
        <v>5</v>
      </c>
      <c r="D21" s="3">
        <v>5</v>
      </c>
      <c r="E21" s="3">
        <v>5</v>
      </c>
      <c r="F21" s="3">
        <v>11</v>
      </c>
      <c r="G21" s="3">
        <v>7</v>
      </c>
      <c r="H21" s="3">
        <v>4</v>
      </c>
      <c r="I21" s="3">
        <v>10</v>
      </c>
      <c r="J21" s="3">
        <v>1</v>
      </c>
      <c r="K21" s="3">
        <f t="shared" si="0"/>
        <v>48</v>
      </c>
      <c r="L21" s="4">
        <f t="shared" si="1"/>
        <v>2.7257240204429302E-2</v>
      </c>
      <c r="M21" s="5">
        <f>SUM($L$4:L21)</f>
        <v>0.78023850085178892</v>
      </c>
    </row>
    <row r="22" spans="1:13">
      <c r="A22" s="2">
        <v>19</v>
      </c>
      <c r="B22" s="3" t="s">
        <v>32</v>
      </c>
      <c r="C22" s="3">
        <v>6</v>
      </c>
      <c r="D22" s="3">
        <v>5</v>
      </c>
      <c r="E22" s="3">
        <v>8</v>
      </c>
      <c r="F22" s="3">
        <v>7</v>
      </c>
      <c r="G22" s="3">
        <v>7</v>
      </c>
      <c r="H22" s="3">
        <v>5</v>
      </c>
      <c r="I22" s="3">
        <v>5</v>
      </c>
      <c r="J22" s="3">
        <v>4</v>
      </c>
      <c r="K22" s="3">
        <f t="shared" si="0"/>
        <v>47</v>
      </c>
      <c r="L22" s="4">
        <f t="shared" si="1"/>
        <v>2.6689381033503691E-2</v>
      </c>
      <c r="M22" s="5">
        <f>SUM($L$4:L22)</f>
        <v>0.80692788188529263</v>
      </c>
    </row>
    <row r="23" spans="1:13">
      <c r="A23" s="2">
        <v>20</v>
      </c>
      <c r="B23" s="3" t="s">
        <v>33</v>
      </c>
      <c r="C23" s="3">
        <v>9</v>
      </c>
      <c r="D23" s="3">
        <v>4</v>
      </c>
      <c r="E23" s="3">
        <v>3</v>
      </c>
      <c r="F23" s="3">
        <v>7</v>
      </c>
      <c r="G23" s="3">
        <v>7</v>
      </c>
      <c r="H23" s="3">
        <v>3</v>
      </c>
      <c r="I23" s="3">
        <v>4</v>
      </c>
      <c r="J23" s="3">
        <v>7</v>
      </c>
      <c r="K23" s="3">
        <f t="shared" si="0"/>
        <v>44</v>
      </c>
      <c r="L23" s="4">
        <f t="shared" si="1"/>
        <v>2.4985803520726858E-2</v>
      </c>
      <c r="M23" s="5">
        <f>SUM($L$4:L23)</f>
        <v>0.83191368540601951</v>
      </c>
    </row>
    <row r="24" spans="1:13">
      <c r="A24" s="2">
        <v>21</v>
      </c>
      <c r="B24" s="3" t="s">
        <v>34</v>
      </c>
      <c r="C24" s="3">
        <v>6</v>
      </c>
      <c r="D24" s="3">
        <v>7</v>
      </c>
      <c r="E24" s="3">
        <v>2</v>
      </c>
      <c r="F24" s="3">
        <v>7</v>
      </c>
      <c r="G24" s="3">
        <v>5</v>
      </c>
      <c r="H24" s="3">
        <v>8</v>
      </c>
      <c r="I24" s="3">
        <v>1</v>
      </c>
      <c r="J24" s="3">
        <v>7</v>
      </c>
      <c r="K24" s="3">
        <f t="shared" si="0"/>
        <v>43</v>
      </c>
      <c r="L24" s="4">
        <f t="shared" si="1"/>
        <v>2.4417944349801251E-2</v>
      </c>
      <c r="M24" s="5">
        <f>SUM($L$4:L24)</f>
        <v>0.85633162975582078</v>
      </c>
    </row>
    <row r="25" spans="1:13">
      <c r="A25" s="2">
        <v>22</v>
      </c>
      <c r="B25" s="3" t="s">
        <v>35</v>
      </c>
      <c r="C25" s="3">
        <v>5</v>
      </c>
      <c r="D25" s="3">
        <v>4</v>
      </c>
      <c r="E25" s="3">
        <v>3</v>
      </c>
      <c r="F25" s="3">
        <v>11</v>
      </c>
      <c r="G25" s="3">
        <v>11</v>
      </c>
      <c r="H25" s="3">
        <v>0</v>
      </c>
      <c r="I25" s="3">
        <v>2</v>
      </c>
      <c r="J25" s="3">
        <v>5</v>
      </c>
      <c r="K25" s="3">
        <f t="shared" si="0"/>
        <v>41</v>
      </c>
      <c r="L25" s="4">
        <f t="shared" si="1"/>
        <v>2.3282226007950029E-2</v>
      </c>
      <c r="M25" s="5">
        <f>SUM($L$4:L25)</f>
        <v>0.87961385576377082</v>
      </c>
    </row>
    <row r="26" spans="1:13">
      <c r="A26" s="2">
        <v>23</v>
      </c>
      <c r="B26" s="3" t="s">
        <v>36</v>
      </c>
      <c r="C26" s="3">
        <v>2</v>
      </c>
      <c r="D26" s="3">
        <v>4</v>
      </c>
      <c r="E26" s="3">
        <v>6</v>
      </c>
      <c r="F26" s="3">
        <v>3</v>
      </c>
      <c r="G26" s="3">
        <v>8</v>
      </c>
      <c r="H26" s="3">
        <v>5</v>
      </c>
      <c r="I26" s="3">
        <v>4</v>
      </c>
      <c r="J26" s="3">
        <v>7</v>
      </c>
      <c r="K26" s="3">
        <f t="shared" si="0"/>
        <v>39</v>
      </c>
      <c r="L26" s="4">
        <f t="shared" si="1"/>
        <v>2.2146507666098807E-2</v>
      </c>
      <c r="M26" s="5">
        <f>SUM($L$4:L26)</f>
        <v>0.90176036342986965</v>
      </c>
    </row>
    <row r="27" spans="1:13">
      <c r="A27" s="2">
        <v>24</v>
      </c>
      <c r="B27" s="3" t="s">
        <v>37</v>
      </c>
      <c r="C27" s="3">
        <v>4</v>
      </c>
      <c r="D27" s="3">
        <v>2</v>
      </c>
      <c r="E27" s="3">
        <v>4</v>
      </c>
      <c r="F27" s="3">
        <v>4</v>
      </c>
      <c r="G27" s="3">
        <v>3</v>
      </c>
      <c r="H27" s="3">
        <v>7</v>
      </c>
      <c r="I27" s="3">
        <v>8</v>
      </c>
      <c r="J27" s="3">
        <v>6</v>
      </c>
      <c r="K27" s="3">
        <f t="shared" si="0"/>
        <v>38</v>
      </c>
      <c r="L27" s="4">
        <f t="shared" si="1"/>
        <v>2.1578648495173196E-2</v>
      </c>
      <c r="M27" s="5">
        <f>SUM($L$4:L27)</f>
        <v>0.92333901192504286</v>
      </c>
    </row>
    <row r="28" spans="1:13">
      <c r="A28" s="2">
        <v>25</v>
      </c>
      <c r="B28" s="3" t="s">
        <v>38</v>
      </c>
      <c r="C28" s="3">
        <v>6</v>
      </c>
      <c r="D28" s="3">
        <v>7</v>
      </c>
      <c r="E28" s="3">
        <v>1</v>
      </c>
      <c r="F28" s="3">
        <v>6</v>
      </c>
      <c r="G28" s="3">
        <v>5</v>
      </c>
      <c r="H28" s="3">
        <v>4</v>
      </c>
      <c r="I28" s="3">
        <v>5</v>
      </c>
      <c r="J28" s="3">
        <v>3</v>
      </c>
      <c r="K28" s="3">
        <f t="shared" si="0"/>
        <v>37</v>
      </c>
      <c r="L28" s="4">
        <f t="shared" si="1"/>
        <v>2.1010789324247586E-2</v>
      </c>
      <c r="M28" s="5">
        <f>SUM($L$4:L28)</f>
        <v>0.94434980124929047</v>
      </c>
    </row>
    <row r="29" spans="1:13">
      <c r="A29" s="2">
        <v>26</v>
      </c>
      <c r="B29" s="3" t="s">
        <v>39</v>
      </c>
      <c r="C29" s="3">
        <v>1</v>
      </c>
      <c r="D29" s="3">
        <v>5</v>
      </c>
      <c r="E29" s="3">
        <v>6</v>
      </c>
      <c r="F29" s="3">
        <v>7</v>
      </c>
      <c r="G29" s="3">
        <v>6</v>
      </c>
      <c r="H29" s="3">
        <v>3</v>
      </c>
      <c r="I29" s="3">
        <v>6</v>
      </c>
      <c r="J29" s="3">
        <v>1</v>
      </c>
      <c r="K29" s="3">
        <f t="shared" si="0"/>
        <v>35</v>
      </c>
      <c r="L29" s="4">
        <f t="shared" si="1"/>
        <v>1.9875070982396367E-2</v>
      </c>
      <c r="M29" s="5">
        <f>SUM($L$4:L29)</f>
        <v>0.96422487223168685</v>
      </c>
    </row>
    <row r="30" spans="1:13">
      <c r="A30" s="2">
        <v>27</v>
      </c>
      <c r="B30" s="3" t="s">
        <v>40</v>
      </c>
      <c r="C30" s="3">
        <v>3</v>
      </c>
      <c r="D30" s="3">
        <v>1</v>
      </c>
      <c r="E30" s="3">
        <v>5</v>
      </c>
      <c r="F30" s="3">
        <v>3</v>
      </c>
      <c r="G30" s="3">
        <v>1</v>
      </c>
      <c r="H30" s="3">
        <v>2</v>
      </c>
      <c r="I30" s="3">
        <v>6</v>
      </c>
      <c r="J30" s="3">
        <v>1</v>
      </c>
      <c r="K30" s="3">
        <f t="shared" si="0"/>
        <v>22</v>
      </c>
      <c r="L30" s="4">
        <f t="shared" si="1"/>
        <v>1.2492901760363429E-2</v>
      </c>
      <c r="M30" s="5">
        <f>SUM($L$4:L30)</f>
        <v>0.97671777399205029</v>
      </c>
    </row>
    <row r="31" spans="1:13">
      <c r="A31" s="2">
        <v>28</v>
      </c>
      <c r="B31" s="3" t="s">
        <v>41</v>
      </c>
      <c r="C31" s="3">
        <v>2</v>
      </c>
      <c r="D31" s="3">
        <v>2</v>
      </c>
      <c r="E31" s="3">
        <v>2</v>
      </c>
      <c r="F31" s="3">
        <v>2</v>
      </c>
      <c r="G31" s="3">
        <v>3</v>
      </c>
      <c r="H31" s="3">
        <v>2</v>
      </c>
      <c r="I31" s="3">
        <v>4</v>
      </c>
      <c r="J31" s="3">
        <v>4</v>
      </c>
      <c r="K31" s="3">
        <f t="shared" si="0"/>
        <v>21</v>
      </c>
      <c r="L31" s="4">
        <f t="shared" si="1"/>
        <v>1.192504258943782E-2</v>
      </c>
      <c r="M31" s="5">
        <f>SUM($L$4:L31)</f>
        <v>0.98864281658148812</v>
      </c>
    </row>
    <row r="32" spans="1:13" ht="15.75" thickBot="1">
      <c r="A32" s="2">
        <v>29</v>
      </c>
      <c r="B32" s="3" t="s">
        <v>42</v>
      </c>
      <c r="C32" s="3">
        <v>5</v>
      </c>
      <c r="D32" s="3">
        <v>0</v>
      </c>
      <c r="E32" s="3">
        <v>3</v>
      </c>
      <c r="F32" s="3">
        <v>4</v>
      </c>
      <c r="G32" s="3">
        <v>2</v>
      </c>
      <c r="H32" s="3">
        <v>1</v>
      </c>
      <c r="I32" s="3">
        <v>3</v>
      </c>
      <c r="J32" s="3">
        <v>2</v>
      </c>
      <c r="K32" s="3">
        <f t="shared" si="0"/>
        <v>20</v>
      </c>
      <c r="L32" s="4">
        <f t="shared" si="1"/>
        <v>1.1357183418512209E-2</v>
      </c>
      <c r="M32" s="5">
        <f>SUM($L$4:L32)</f>
        <v>1.0000000000000002</v>
      </c>
    </row>
    <row r="33" spans="1:13">
      <c r="A33" s="6"/>
      <c r="B33" s="7" t="s">
        <v>10</v>
      </c>
      <c r="C33" s="7">
        <f t="shared" ref="C33:K33" si="2">SUM(C4:C32)</f>
        <v>215</v>
      </c>
      <c r="D33" s="7">
        <f t="shared" si="2"/>
        <v>176</v>
      </c>
      <c r="E33" s="7">
        <f t="shared" si="2"/>
        <v>234</v>
      </c>
      <c r="F33" s="7">
        <f t="shared" si="2"/>
        <v>263</v>
      </c>
      <c r="G33" s="7">
        <f t="shared" si="2"/>
        <v>231</v>
      </c>
      <c r="H33" s="7">
        <f t="shared" si="2"/>
        <v>206</v>
      </c>
      <c r="I33" s="7">
        <f t="shared" si="2"/>
        <v>221</v>
      </c>
      <c r="J33" s="7">
        <f t="shared" si="2"/>
        <v>215</v>
      </c>
      <c r="K33" s="7">
        <f t="shared" si="2"/>
        <v>1761</v>
      </c>
      <c r="L33" s="8"/>
      <c r="M33" s="9"/>
    </row>
  </sheetData>
  <mergeCells count="1">
    <mergeCell ref="A1:M1"/>
  </mergeCells>
  <conditionalFormatting sqref="C4:J32">
    <cfRule type="colorScale" priority="1">
      <colorScale>
        <cfvo type="num" val="0"/>
        <cfvo type="max"/>
        <color rgb="FFFFFFFF"/>
        <color rgb="FFE57368"/>
      </colorScale>
    </cfRule>
  </conditionalFormatting>
  <conditionalFormatting sqref="L4:L32">
    <cfRule type="dataBar" priority="2">
      <dataBar>
        <cfvo type="num" val="0"/>
        <cfvo type="max"/>
        <color rgb="FF9DB7D5"/>
      </dataBar>
      <extLst>
        <ext xmlns:x14="http://schemas.microsoft.com/office/spreadsheetml/2009/9/main" uri="{B025F937-C7B1-47D3-B67F-A62EFF666E3E}">
          <x14:id>{503F7681-A0EF-4A2C-926E-66426817688F}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03F7681-A0EF-4A2C-926E-66426817688F}">
            <x14:dataBar axisPosition="none">
              <x14:cfvo type="num">
                <xm:f>0</xm:f>
              </x14:cfvo>
              <x14:cfvo type="max"/>
              <x14:negativeFillColor rgb="FF9DB7D5"/>
            </x14:dataBar>
          </x14:cfRule>
          <xm:sqref>L4:L32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72B30-0513-4661-AA37-74FAA99708D5}">
  <dimension ref="A1:M33"/>
  <sheetViews>
    <sheetView workbookViewId="0">
      <selection activeCell="M32" sqref="M32"/>
    </sheetView>
  </sheetViews>
  <sheetFormatPr defaultRowHeight="15"/>
  <cols>
    <col min="1" max="13" width="7.28515625" customWidth="1"/>
  </cols>
  <sheetData>
    <row r="1" spans="1:13" ht="18">
      <c r="A1" s="17" t="s">
        <v>43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3" spans="1:13" ht="25.5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9</v>
      </c>
      <c r="K3" s="10" t="s">
        <v>10</v>
      </c>
      <c r="L3" s="10" t="s">
        <v>11</v>
      </c>
      <c r="M3" s="10" t="s">
        <v>12</v>
      </c>
    </row>
    <row r="4" spans="1:13">
      <c r="A4" s="11">
        <v>1</v>
      </c>
      <c r="B4" s="11" t="s">
        <v>15</v>
      </c>
      <c r="C4" s="11">
        <v>5</v>
      </c>
      <c r="D4" s="11">
        <v>3</v>
      </c>
      <c r="E4" s="11">
        <v>3</v>
      </c>
      <c r="F4" s="11">
        <v>6</v>
      </c>
      <c r="G4" s="11">
        <v>5</v>
      </c>
      <c r="H4" s="11">
        <v>3</v>
      </c>
      <c r="I4" s="11">
        <v>2</v>
      </c>
      <c r="J4" s="11">
        <v>1</v>
      </c>
      <c r="K4" s="11">
        <f t="shared" ref="K4:K32" si="0">SUM(C4:J4)</f>
        <v>28</v>
      </c>
      <c r="L4" s="12">
        <f t="shared" ref="L4:L32" si="1">IFERROR(K4/$K$33,0)</f>
        <v>0.27722772277227725</v>
      </c>
      <c r="M4" s="13">
        <f>SUM($L$4:L4)</f>
        <v>0.27722772277227725</v>
      </c>
    </row>
    <row r="5" spans="1:13">
      <c r="A5" s="11">
        <v>2</v>
      </c>
      <c r="B5" s="11" t="s">
        <v>19</v>
      </c>
      <c r="C5" s="11">
        <v>2</v>
      </c>
      <c r="D5" s="11">
        <v>0</v>
      </c>
      <c r="E5" s="11">
        <v>0</v>
      </c>
      <c r="F5" s="11">
        <v>2</v>
      </c>
      <c r="G5" s="11">
        <v>4</v>
      </c>
      <c r="H5" s="11">
        <v>1</v>
      </c>
      <c r="I5" s="11">
        <v>1</v>
      </c>
      <c r="J5" s="11">
        <v>1</v>
      </c>
      <c r="K5" s="11">
        <f t="shared" si="0"/>
        <v>11</v>
      </c>
      <c r="L5" s="12">
        <f t="shared" si="1"/>
        <v>0.10891089108910891</v>
      </c>
      <c r="M5" s="13">
        <f>SUM($L$4:L5)</f>
        <v>0.38613861386138615</v>
      </c>
    </row>
    <row r="6" spans="1:13">
      <c r="A6" s="11">
        <v>3</v>
      </c>
      <c r="B6" s="11" t="s">
        <v>14</v>
      </c>
      <c r="C6" s="11">
        <v>3</v>
      </c>
      <c r="D6" s="11">
        <v>0</v>
      </c>
      <c r="E6" s="11">
        <v>1</v>
      </c>
      <c r="F6" s="11">
        <v>2</v>
      </c>
      <c r="G6" s="11">
        <v>2</v>
      </c>
      <c r="H6" s="11">
        <v>1</v>
      </c>
      <c r="I6" s="11">
        <v>1</v>
      </c>
      <c r="J6" s="11">
        <v>0</v>
      </c>
      <c r="K6" s="11">
        <f t="shared" si="0"/>
        <v>10</v>
      </c>
      <c r="L6" s="12">
        <f t="shared" si="1"/>
        <v>9.9009900990099015E-2</v>
      </c>
      <c r="M6" s="13">
        <f>SUM($L$4:L6)</f>
        <v>0.48514851485148514</v>
      </c>
    </row>
    <row r="7" spans="1:13">
      <c r="A7" s="11">
        <v>4</v>
      </c>
      <c r="B7" s="11" t="s">
        <v>20</v>
      </c>
      <c r="C7" s="11">
        <v>3</v>
      </c>
      <c r="D7" s="11">
        <v>1</v>
      </c>
      <c r="E7" s="11">
        <v>0</v>
      </c>
      <c r="F7" s="11">
        <v>2</v>
      </c>
      <c r="G7" s="11">
        <v>2</v>
      </c>
      <c r="H7" s="11">
        <v>0</v>
      </c>
      <c r="I7" s="11">
        <v>0</v>
      </c>
      <c r="J7" s="11">
        <v>0</v>
      </c>
      <c r="K7" s="11">
        <f t="shared" si="0"/>
        <v>8</v>
      </c>
      <c r="L7" s="12">
        <f t="shared" si="1"/>
        <v>7.9207920792079209E-2</v>
      </c>
      <c r="M7" s="13">
        <f>SUM($L$4:L7)</f>
        <v>0.5643564356435643</v>
      </c>
    </row>
    <row r="8" spans="1:13">
      <c r="A8" s="11">
        <v>5</v>
      </c>
      <c r="B8" s="11" t="s">
        <v>28</v>
      </c>
      <c r="C8" s="11">
        <v>1</v>
      </c>
      <c r="D8" s="11">
        <v>1</v>
      </c>
      <c r="E8" s="11">
        <v>3</v>
      </c>
      <c r="F8" s="11">
        <v>1</v>
      </c>
      <c r="G8" s="11">
        <v>0</v>
      </c>
      <c r="H8" s="11">
        <v>2</v>
      </c>
      <c r="I8" s="11">
        <v>0</v>
      </c>
      <c r="J8" s="11">
        <v>0</v>
      </c>
      <c r="K8" s="11">
        <f t="shared" si="0"/>
        <v>8</v>
      </c>
      <c r="L8" s="12">
        <f t="shared" si="1"/>
        <v>7.9207920792079209E-2</v>
      </c>
      <c r="M8" s="13">
        <f>SUM($L$4:L8)</f>
        <v>0.64356435643564347</v>
      </c>
    </row>
    <row r="9" spans="1:13">
      <c r="A9" s="11">
        <v>6</v>
      </c>
      <c r="B9" s="11" t="s">
        <v>34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1</v>
      </c>
      <c r="I9" s="11">
        <v>1</v>
      </c>
      <c r="J9" s="11">
        <v>2</v>
      </c>
      <c r="K9" s="11">
        <f t="shared" si="0"/>
        <v>4</v>
      </c>
      <c r="L9" s="12">
        <f t="shared" si="1"/>
        <v>3.9603960396039604E-2</v>
      </c>
      <c r="M9" s="13">
        <f>SUM($L$4:L9)</f>
        <v>0.68316831683168311</v>
      </c>
    </row>
    <row r="10" spans="1:13">
      <c r="A10" s="11">
        <v>7</v>
      </c>
      <c r="B10" s="11" t="s">
        <v>17</v>
      </c>
      <c r="C10" s="11">
        <v>1</v>
      </c>
      <c r="D10" s="11">
        <v>0</v>
      </c>
      <c r="E10" s="11">
        <v>0</v>
      </c>
      <c r="F10" s="11">
        <v>0</v>
      </c>
      <c r="G10" s="11">
        <v>0</v>
      </c>
      <c r="H10" s="11">
        <v>2</v>
      </c>
      <c r="I10" s="11">
        <v>0</v>
      </c>
      <c r="J10" s="11">
        <v>0</v>
      </c>
      <c r="K10" s="11">
        <f t="shared" si="0"/>
        <v>3</v>
      </c>
      <c r="L10" s="12">
        <f t="shared" si="1"/>
        <v>2.9702970297029702E-2</v>
      </c>
      <c r="M10" s="13">
        <f>SUM($L$4:L10)</f>
        <v>0.71287128712871284</v>
      </c>
    </row>
    <row r="11" spans="1:13">
      <c r="A11" s="11">
        <v>8</v>
      </c>
      <c r="B11" s="11" t="s">
        <v>23</v>
      </c>
      <c r="C11" s="11">
        <v>0</v>
      </c>
      <c r="D11" s="11">
        <v>1</v>
      </c>
      <c r="E11" s="11">
        <v>0</v>
      </c>
      <c r="F11" s="11">
        <v>0</v>
      </c>
      <c r="G11" s="11">
        <v>0</v>
      </c>
      <c r="H11" s="11">
        <v>2</v>
      </c>
      <c r="I11" s="11">
        <v>0</v>
      </c>
      <c r="J11" s="11">
        <v>0</v>
      </c>
      <c r="K11" s="11">
        <f t="shared" si="0"/>
        <v>3</v>
      </c>
      <c r="L11" s="12">
        <f t="shared" si="1"/>
        <v>2.9702970297029702E-2</v>
      </c>
      <c r="M11" s="13">
        <f>SUM($L$4:L11)</f>
        <v>0.74257425742574257</v>
      </c>
    </row>
    <row r="12" spans="1:13">
      <c r="A12" s="11">
        <v>9</v>
      </c>
      <c r="B12" s="11" t="s">
        <v>24</v>
      </c>
      <c r="C12" s="11">
        <v>0</v>
      </c>
      <c r="D12" s="11">
        <v>0</v>
      </c>
      <c r="E12" s="11">
        <v>0</v>
      </c>
      <c r="F12" s="11">
        <v>3</v>
      </c>
      <c r="G12" s="11">
        <v>0</v>
      </c>
      <c r="H12" s="11">
        <v>0</v>
      </c>
      <c r="I12" s="11">
        <v>0</v>
      </c>
      <c r="J12" s="11">
        <v>0</v>
      </c>
      <c r="K12" s="11">
        <f t="shared" si="0"/>
        <v>3</v>
      </c>
      <c r="L12" s="12">
        <f t="shared" si="1"/>
        <v>2.9702970297029702E-2</v>
      </c>
      <c r="M12" s="13">
        <f>SUM($L$4:L12)</f>
        <v>0.7722772277227723</v>
      </c>
    </row>
    <row r="13" spans="1:13">
      <c r="A13" s="11">
        <v>10</v>
      </c>
      <c r="B13" s="11" t="s">
        <v>26</v>
      </c>
      <c r="C13" s="11">
        <v>0</v>
      </c>
      <c r="D13" s="11">
        <v>0</v>
      </c>
      <c r="E13" s="11">
        <v>1</v>
      </c>
      <c r="F13" s="11">
        <v>0</v>
      </c>
      <c r="G13" s="11">
        <v>0</v>
      </c>
      <c r="H13" s="11">
        <v>0</v>
      </c>
      <c r="I13" s="11">
        <v>0</v>
      </c>
      <c r="J13" s="11">
        <v>2</v>
      </c>
      <c r="K13" s="11">
        <f t="shared" si="0"/>
        <v>3</v>
      </c>
      <c r="L13" s="12">
        <f t="shared" si="1"/>
        <v>2.9702970297029702E-2</v>
      </c>
      <c r="M13" s="13">
        <f>SUM($L$4:L13)</f>
        <v>0.80198019801980203</v>
      </c>
    </row>
    <row r="14" spans="1:13">
      <c r="A14" s="11">
        <v>11</v>
      </c>
      <c r="B14" s="11" t="s">
        <v>38</v>
      </c>
      <c r="C14" s="11">
        <v>2</v>
      </c>
      <c r="D14" s="11">
        <v>0</v>
      </c>
      <c r="E14" s="11">
        <v>1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f t="shared" si="0"/>
        <v>3</v>
      </c>
      <c r="L14" s="12">
        <f t="shared" si="1"/>
        <v>2.9702970297029702E-2</v>
      </c>
      <c r="M14" s="13">
        <f>SUM($L$4:L14)</f>
        <v>0.83168316831683176</v>
      </c>
    </row>
    <row r="15" spans="1:13">
      <c r="A15" s="11">
        <v>12</v>
      </c>
      <c r="B15" s="11" t="s">
        <v>22</v>
      </c>
      <c r="C15" s="11">
        <v>1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1</v>
      </c>
      <c r="K15" s="11">
        <f t="shared" si="0"/>
        <v>2</v>
      </c>
      <c r="L15" s="12">
        <f t="shared" si="1"/>
        <v>1.9801980198019802E-2</v>
      </c>
      <c r="M15" s="13">
        <f>SUM($L$4:L15)</f>
        <v>0.85148514851485158</v>
      </c>
    </row>
    <row r="16" spans="1:13">
      <c r="A16" s="11">
        <v>13</v>
      </c>
      <c r="B16" s="11" t="s">
        <v>25</v>
      </c>
      <c r="C16" s="11">
        <v>0</v>
      </c>
      <c r="D16" s="11">
        <v>1</v>
      </c>
      <c r="E16" s="11">
        <v>1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f t="shared" si="0"/>
        <v>2</v>
      </c>
      <c r="L16" s="12">
        <f t="shared" si="1"/>
        <v>1.9801980198019802E-2</v>
      </c>
      <c r="M16" s="13">
        <f>SUM($L$4:L16)</f>
        <v>0.87128712871287139</v>
      </c>
    </row>
    <row r="17" spans="1:13">
      <c r="A17" s="11">
        <v>14</v>
      </c>
      <c r="B17" s="11" t="s">
        <v>33</v>
      </c>
      <c r="C17" s="11">
        <v>0</v>
      </c>
      <c r="D17" s="11">
        <v>0</v>
      </c>
      <c r="E17" s="11">
        <v>0</v>
      </c>
      <c r="F17" s="11">
        <v>0</v>
      </c>
      <c r="G17" s="11">
        <v>1</v>
      </c>
      <c r="H17" s="11">
        <v>0</v>
      </c>
      <c r="I17" s="11">
        <v>0</v>
      </c>
      <c r="J17" s="11">
        <v>1</v>
      </c>
      <c r="K17" s="11">
        <f t="shared" si="0"/>
        <v>2</v>
      </c>
      <c r="L17" s="12">
        <f t="shared" si="1"/>
        <v>1.9801980198019802E-2</v>
      </c>
      <c r="M17" s="13">
        <f>SUM($L$4:L17)</f>
        <v>0.89108910891089121</v>
      </c>
    </row>
    <row r="18" spans="1:13">
      <c r="A18" s="11">
        <v>15</v>
      </c>
      <c r="B18" s="11" t="s">
        <v>35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2</v>
      </c>
      <c r="I18" s="11">
        <v>0</v>
      </c>
      <c r="J18" s="11">
        <v>0</v>
      </c>
      <c r="K18" s="11">
        <f t="shared" si="0"/>
        <v>2</v>
      </c>
      <c r="L18" s="12">
        <f t="shared" si="1"/>
        <v>1.9801980198019802E-2</v>
      </c>
      <c r="M18" s="13">
        <f>SUM($L$4:L18)</f>
        <v>0.91089108910891103</v>
      </c>
    </row>
    <row r="19" spans="1:13">
      <c r="A19" s="11">
        <v>16</v>
      </c>
      <c r="B19" s="11" t="s">
        <v>16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1</v>
      </c>
      <c r="J19" s="11">
        <v>0</v>
      </c>
      <c r="K19" s="11">
        <f t="shared" si="0"/>
        <v>1</v>
      </c>
      <c r="L19" s="12">
        <f t="shared" si="1"/>
        <v>9.9009900990099011E-3</v>
      </c>
      <c r="M19" s="13">
        <f>SUM($L$4:L19)</f>
        <v>0.92079207920792094</v>
      </c>
    </row>
    <row r="20" spans="1:13">
      <c r="A20" s="11">
        <v>17</v>
      </c>
      <c r="B20" s="11" t="s">
        <v>21</v>
      </c>
      <c r="C20" s="11">
        <v>0</v>
      </c>
      <c r="D20" s="11">
        <v>0</v>
      </c>
      <c r="E20" s="11">
        <v>1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f t="shared" si="0"/>
        <v>1</v>
      </c>
      <c r="L20" s="12">
        <f t="shared" si="1"/>
        <v>9.9009900990099011E-3</v>
      </c>
      <c r="M20" s="13">
        <f>SUM($L$4:L20)</f>
        <v>0.93069306930693085</v>
      </c>
    </row>
    <row r="21" spans="1:13">
      <c r="A21" s="11">
        <v>18</v>
      </c>
      <c r="B21" s="11" t="s">
        <v>29</v>
      </c>
      <c r="C21" s="11">
        <v>0</v>
      </c>
      <c r="D21" s="11">
        <v>0</v>
      </c>
      <c r="E21" s="11">
        <v>0</v>
      </c>
      <c r="F21" s="11">
        <v>0</v>
      </c>
      <c r="G21" s="11">
        <v>1</v>
      </c>
      <c r="H21" s="11">
        <v>0</v>
      </c>
      <c r="I21" s="11">
        <v>0</v>
      </c>
      <c r="J21" s="11">
        <v>0</v>
      </c>
      <c r="K21" s="11">
        <f t="shared" si="0"/>
        <v>1</v>
      </c>
      <c r="L21" s="12">
        <f t="shared" si="1"/>
        <v>9.9009900990099011E-3</v>
      </c>
      <c r="M21" s="13">
        <f>SUM($L$4:L21)</f>
        <v>0.94059405940594076</v>
      </c>
    </row>
    <row r="22" spans="1:13">
      <c r="A22" s="11">
        <v>19</v>
      </c>
      <c r="B22" s="11" t="s">
        <v>31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1</v>
      </c>
      <c r="I22" s="11">
        <v>0</v>
      </c>
      <c r="J22" s="11">
        <v>0</v>
      </c>
      <c r="K22" s="11">
        <f t="shared" si="0"/>
        <v>1</v>
      </c>
      <c r="L22" s="12">
        <f t="shared" si="1"/>
        <v>9.9009900990099011E-3</v>
      </c>
      <c r="M22" s="13">
        <f>SUM($L$4:L22)</f>
        <v>0.95049504950495067</v>
      </c>
    </row>
    <row r="23" spans="1:13">
      <c r="A23" s="11">
        <v>20</v>
      </c>
      <c r="B23" s="11" t="s">
        <v>36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1</v>
      </c>
      <c r="I23" s="11">
        <v>0</v>
      </c>
      <c r="J23" s="11">
        <v>0</v>
      </c>
      <c r="K23" s="11">
        <f t="shared" si="0"/>
        <v>1</v>
      </c>
      <c r="L23" s="12">
        <f t="shared" si="1"/>
        <v>9.9009900990099011E-3</v>
      </c>
      <c r="M23" s="13">
        <f>SUM($L$4:L23)</f>
        <v>0.96039603960396058</v>
      </c>
    </row>
    <row r="24" spans="1:13">
      <c r="A24" s="11">
        <v>21</v>
      </c>
      <c r="B24" s="11" t="s">
        <v>37</v>
      </c>
      <c r="C24" s="11">
        <v>0</v>
      </c>
      <c r="D24" s="11">
        <v>1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f t="shared" si="0"/>
        <v>1</v>
      </c>
      <c r="L24" s="12">
        <f t="shared" si="1"/>
        <v>9.9009900990099011E-3</v>
      </c>
      <c r="M24" s="13">
        <f>SUM($L$4:L24)</f>
        <v>0.97029702970297049</v>
      </c>
    </row>
    <row r="25" spans="1:13">
      <c r="A25" s="11">
        <v>22</v>
      </c>
      <c r="B25" s="11" t="s">
        <v>39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1</v>
      </c>
      <c r="K25" s="11">
        <f t="shared" si="0"/>
        <v>1</v>
      </c>
      <c r="L25" s="12">
        <f t="shared" si="1"/>
        <v>9.9009900990099011E-3</v>
      </c>
      <c r="M25" s="13">
        <f>SUM($L$4:L25)</f>
        <v>0.9801980198019804</v>
      </c>
    </row>
    <row r="26" spans="1:13">
      <c r="A26" s="11">
        <v>23</v>
      </c>
      <c r="B26" s="11" t="s">
        <v>40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1</v>
      </c>
      <c r="I26" s="11">
        <v>0</v>
      </c>
      <c r="J26" s="11">
        <v>0</v>
      </c>
      <c r="K26" s="11">
        <f t="shared" si="0"/>
        <v>1</v>
      </c>
      <c r="L26" s="12">
        <f t="shared" si="1"/>
        <v>9.9009900990099011E-3</v>
      </c>
      <c r="M26" s="13">
        <f>SUM($L$4:L26)</f>
        <v>0.99009900990099031</v>
      </c>
    </row>
    <row r="27" spans="1:13">
      <c r="A27" s="11">
        <v>24</v>
      </c>
      <c r="B27" s="11" t="s">
        <v>42</v>
      </c>
      <c r="C27" s="11">
        <v>0</v>
      </c>
      <c r="D27" s="11">
        <v>0</v>
      </c>
      <c r="E27" s="11">
        <v>1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f t="shared" si="0"/>
        <v>1</v>
      </c>
      <c r="L27" s="12">
        <f t="shared" si="1"/>
        <v>9.9009900990099011E-3</v>
      </c>
      <c r="M27" s="13">
        <f>SUM($L$4:L27)</f>
        <v>1.0000000000000002</v>
      </c>
    </row>
    <row r="28" spans="1:13">
      <c r="A28" s="11">
        <v>25</v>
      </c>
      <c r="B28" s="11" t="s">
        <v>18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f t="shared" si="0"/>
        <v>0</v>
      </c>
      <c r="L28" s="12">
        <f t="shared" si="1"/>
        <v>0</v>
      </c>
      <c r="M28" s="13">
        <f>SUM($L$4:L28)</f>
        <v>1.0000000000000002</v>
      </c>
    </row>
    <row r="29" spans="1:13">
      <c r="A29" s="11">
        <v>26</v>
      </c>
      <c r="B29" s="11" t="s">
        <v>27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f t="shared" si="0"/>
        <v>0</v>
      </c>
      <c r="L29" s="12">
        <f t="shared" si="1"/>
        <v>0</v>
      </c>
      <c r="M29" s="13">
        <f>SUM($L$4:L29)</f>
        <v>1.0000000000000002</v>
      </c>
    </row>
    <row r="30" spans="1:13">
      <c r="A30" s="11">
        <v>27</v>
      </c>
      <c r="B30" s="11" t="s">
        <v>30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f t="shared" si="0"/>
        <v>0</v>
      </c>
      <c r="L30" s="12">
        <f t="shared" si="1"/>
        <v>0</v>
      </c>
      <c r="M30" s="13">
        <f>SUM($L$4:L30)</f>
        <v>1.0000000000000002</v>
      </c>
    </row>
    <row r="31" spans="1:13">
      <c r="A31" s="11">
        <v>28</v>
      </c>
      <c r="B31" s="11" t="s">
        <v>32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f t="shared" si="0"/>
        <v>0</v>
      </c>
      <c r="L31" s="12">
        <f t="shared" si="1"/>
        <v>0</v>
      </c>
      <c r="M31" s="13">
        <f>SUM($L$4:L31)</f>
        <v>1.0000000000000002</v>
      </c>
    </row>
    <row r="32" spans="1:13" ht="15.75" thickBot="1">
      <c r="A32" s="11">
        <v>29</v>
      </c>
      <c r="B32" s="11" t="s">
        <v>41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f t="shared" si="0"/>
        <v>0</v>
      </c>
      <c r="L32" s="12">
        <f t="shared" si="1"/>
        <v>0</v>
      </c>
      <c r="M32" s="13">
        <f>SUM($L$4:L32)</f>
        <v>1.0000000000000002</v>
      </c>
    </row>
    <row r="33" spans="1:13">
      <c r="A33" s="14"/>
      <c r="B33" s="14" t="s">
        <v>10</v>
      </c>
      <c r="C33" s="14">
        <f t="shared" ref="C33:K33" si="2">SUM(C4:C32)</f>
        <v>18</v>
      </c>
      <c r="D33" s="14">
        <f t="shared" si="2"/>
        <v>8</v>
      </c>
      <c r="E33" s="14">
        <f t="shared" si="2"/>
        <v>12</v>
      </c>
      <c r="F33" s="14">
        <f t="shared" si="2"/>
        <v>16</v>
      </c>
      <c r="G33" s="14">
        <f t="shared" si="2"/>
        <v>15</v>
      </c>
      <c r="H33" s="14">
        <f t="shared" si="2"/>
        <v>17</v>
      </c>
      <c r="I33" s="14">
        <f t="shared" si="2"/>
        <v>6</v>
      </c>
      <c r="J33" s="14">
        <f t="shared" si="2"/>
        <v>9</v>
      </c>
      <c r="K33" s="14">
        <f t="shared" si="2"/>
        <v>101</v>
      </c>
      <c r="L33" s="15"/>
      <c r="M33" s="16"/>
    </row>
  </sheetData>
  <mergeCells count="1">
    <mergeCell ref="A1:M1"/>
  </mergeCells>
  <conditionalFormatting sqref="C4:J32">
    <cfRule type="colorScale" priority="2">
      <colorScale>
        <cfvo type="num" val="0"/>
        <cfvo type="max"/>
        <color rgb="FFFFFFFF"/>
        <color rgb="FFE57368"/>
      </colorScale>
    </cfRule>
  </conditionalFormatting>
  <conditionalFormatting sqref="L4:L3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{D9C3F49C-B632-4DBC-84AA-E3DE80BA5E89}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9C3F49C-B632-4DBC-84AA-E3DE80BA5E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L4:L32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71BA3-1A02-4824-BB2F-096CD3ACEE27}">
  <dimension ref="A1:F30"/>
  <sheetViews>
    <sheetView workbookViewId="0">
      <selection activeCell="J29" sqref="J29"/>
    </sheetView>
  </sheetViews>
  <sheetFormatPr defaultRowHeight="15"/>
  <cols>
    <col min="1" max="1" width="10" customWidth="1"/>
    <col min="2" max="2" width="28" customWidth="1"/>
    <col min="3" max="3" width="10" customWidth="1"/>
    <col min="4" max="4" width="13" customWidth="1"/>
    <col min="5" max="5" width="11" customWidth="1"/>
    <col min="6" max="6" width="16" customWidth="1"/>
  </cols>
  <sheetData>
    <row r="1" spans="1:6" ht="18">
      <c r="A1" s="22" t="s">
        <v>104</v>
      </c>
      <c r="B1" s="22"/>
      <c r="C1" s="22"/>
      <c r="D1" s="22"/>
      <c r="E1" s="22"/>
      <c r="F1" s="22"/>
    </row>
    <row r="3" spans="1:6">
      <c r="A3" s="21" t="s">
        <v>65</v>
      </c>
    </row>
    <row r="4" spans="1:6" ht="25.5">
      <c r="A4" s="1" t="s">
        <v>0</v>
      </c>
      <c r="B4" s="1" t="s">
        <v>105</v>
      </c>
      <c r="C4" s="1" t="s">
        <v>67</v>
      </c>
      <c r="D4" s="1" t="s">
        <v>44</v>
      </c>
      <c r="E4" s="1" t="s">
        <v>13</v>
      </c>
      <c r="F4" s="1" t="s">
        <v>68</v>
      </c>
    </row>
    <row r="5" spans="1:6">
      <c r="A5" s="2">
        <v>1</v>
      </c>
      <c r="B5" s="3" t="s">
        <v>106</v>
      </c>
      <c r="C5" s="3" t="s">
        <v>107</v>
      </c>
      <c r="D5" s="3">
        <v>13</v>
      </c>
      <c r="E5" s="3">
        <v>2</v>
      </c>
      <c r="F5" s="4">
        <f>D5/1761</f>
        <v>7.3821692220329355E-3</v>
      </c>
    </row>
    <row r="6" spans="1:6">
      <c r="A6" s="2">
        <v>2</v>
      </c>
      <c r="B6" s="3" t="s">
        <v>108</v>
      </c>
      <c r="C6" s="3" t="s">
        <v>109</v>
      </c>
      <c r="D6" s="3">
        <v>13</v>
      </c>
      <c r="E6" s="3">
        <v>0</v>
      </c>
      <c r="F6" s="4">
        <f t="shared" ref="F6:F14" si="0">D6/1761</f>
        <v>7.3821692220329355E-3</v>
      </c>
    </row>
    <row r="7" spans="1:6">
      <c r="A7" s="2">
        <v>3</v>
      </c>
      <c r="B7" s="3" t="s">
        <v>110</v>
      </c>
      <c r="C7" s="3" t="s">
        <v>111</v>
      </c>
      <c r="D7" s="3">
        <v>13</v>
      </c>
      <c r="E7" s="3">
        <v>0</v>
      </c>
      <c r="F7" s="4">
        <f t="shared" si="0"/>
        <v>7.3821692220329355E-3</v>
      </c>
    </row>
    <row r="8" spans="1:6">
      <c r="A8" s="2">
        <v>4</v>
      </c>
      <c r="B8" s="3" t="s">
        <v>112</v>
      </c>
      <c r="C8" s="3" t="s">
        <v>113</v>
      </c>
      <c r="D8" s="3">
        <v>12</v>
      </c>
      <c r="E8" s="3">
        <v>0</v>
      </c>
      <c r="F8" s="4">
        <f t="shared" si="0"/>
        <v>6.8143100511073255E-3</v>
      </c>
    </row>
    <row r="9" spans="1:6">
      <c r="A9" s="2">
        <v>5</v>
      </c>
      <c r="B9" s="3" t="s">
        <v>114</v>
      </c>
      <c r="C9" s="3" t="s">
        <v>115</v>
      </c>
      <c r="D9" s="3">
        <v>11</v>
      </c>
      <c r="E9" s="3">
        <v>0</v>
      </c>
      <c r="F9" s="4">
        <f t="shared" si="0"/>
        <v>6.2464508801817146E-3</v>
      </c>
    </row>
    <row r="10" spans="1:6">
      <c r="A10" s="2">
        <v>6</v>
      </c>
      <c r="B10" s="3" t="s">
        <v>116</v>
      </c>
      <c r="C10" s="3" t="s">
        <v>117</v>
      </c>
      <c r="D10" s="3">
        <v>11</v>
      </c>
      <c r="E10" s="3">
        <v>0</v>
      </c>
      <c r="F10" s="4">
        <f t="shared" si="0"/>
        <v>6.2464508801817146E-3</v>
      </c>
    </row>
    <row r="11" spans="1:6">
      <c r="A11" s="2">
        <v>7</v>
      </c>
      <c r="B11" s="3" t="s">
        <v>118</v>
      </c>
      <c r="C11" s="3" t="s">
        <v>119</v>
      </c>
      <c r="D11" s="3">
        <v>11</v>
      </c>
      <c r="E11" s="3">
        <v>0</v>
      </c>
      <c r="F11" s="4">
        <f t="shared" si="0"/>
        <v>6.2464508801817146E-3</v>
      </c>
    </row>
    <row r="12" spans="1:6">
      <c r="A12" s="2">
        <v>8</v>
      </c>
      <c r="B12" s="3" t="s">
        <v>120</v>
      </c>
      <c r="C12" s="3" t="s">
        <v>121</v>
      </c>
      <c r="D12" s="3">
        <v>10</v>
      </c>
      <c r="E12" s="3">
        <v>1</v>
      </c>
      <c r="F12" s="4">
        <f t="shared" si="0"/>
        <v>5.6785917092561046E-3</v>
      </c>
    </row>
    <row r="13" spans="1:6">
      <c r="A13" s="2">
        <v>9</v>
      </c>
      <c r="B13" s="3" t="s">
        <v>122</v>
      </c>
      <c r="C13" s="3" t="s">
        <v>123</v>
      </c>
      <c r="D13" s="3">
        <v>10</v>
      </c>
      <c r="E13" s="3">
        <v>0</v>
      </c>
      <c r="F13" s="4">
        <f t="shared" si="0"/>
        <v>5.6785917092561046E-3</v>
      </c>
    </row>
    <row r="14" spans="1:6" ht="15.75" thickBot="1">
      <c r="A14" s="2">
        <v>10</v>
      </c>
      <c r="B14" s="3" t="s">
        <v>124</v>
      </c>
      <c r="C14" s="3" t="s">
        <v>125</v>
      </c>
      <c r="D14" s="3">
        <v>10</v>
      </c>
      <c r="E14" s="3">
        <v>0</v>
      </c>
      <c r="F14" s="4">
        <f t="shared" si="0"/>
        <v>5.6785917092561046E-3</v>
      </c>
    </row>
    <row r="15" spans="1:6">
      <c r="A15" s="6"/>
      <c r="B15" s="7" t="s">
        <v>89</v>
      </c>
      <c r="C15" s="7"/>
      <c r="D15" s="7">
        <f>SUM(D5:D14)</f>
        <v>114</v>
      </c>
      <c r="E15" s="7">
        <f>SUM(E5:E14)</f>
        <v>3</v>
      </c>
      <c r="F15" s="8">
        <f>SUM(F5:F14)</f>
        <v>6.4735945485519586E-2</v>
      </c>
    </row>
    <row r="18" spans="1:6">
      <c r="A18" s="21" t="s">
        <v>90</v>
      </c>
    </row>
    <row r="19" spans="1:6" ht="25.5">
      <c r="A19" s="1" t="s">
        <v>0</v>
      </c>
      <c r="B19" s="1" t="s">
        <v>105</v>
      </c>
      <c r="C19" s="1" t="s">
        <v>67</v>
      </c>
      <c r="D19" s="1" t="s">
        <v>44</v>
      </c>
      <c r="E19" s="1" t="s">
        <v>13</v>
      </c>
      <c r="F19" s="1" t="s">
        <v>91</v>
      </c>
    </row>
    <row r="20" spans="1:6">
      <c r="A20" s="2">
        <v>1</v>
      </c>
      <c r="B20" s="3" t="s">
        <v>126</v>
      </c>
      <c r="C20" s="3" t="s">
        <v>127</v>
      </c>
      <c r="D20" s="3">
        <v>7</v>
      </c>
      <c r="E20" s="3">
        <v>4</v>
      </c>
      <c r="F20" s="4">
        <f>E20/101</f>
        <v>3.9603960396039604E-2</v>
      </c>
    </row>
    <row r="21" spans="1:6">
      <c r="A21" s="2">
        <v>2</v>
      </c>
      <c r="B21" s="3" t="s">
        <v>128</v>
      </c>
      <c r="C21" s="3" t="s">
        <v>129</v>
      </c>
      <c r="D21" s="3">
        <v>6</v>
      </c>
      <c r="E21" s="3">
        <v>3</v>
      </c>
      <c r="F21" s="4">
        <f t="shared" ref="F21:F29" si="1">E21/101</f>
        <v>2.9702970297029702E-2</v>
      </c>
    </row>
    <row r="22" spans="1:6">
      <c r="A22" s="2">
        <v>3</v>
      </c>
      <c r="B22" s="3" t="s">
        <v>130</v>
      </c>
      <c r="C22" s="3" t="s">
        <v>131</v>
      </c>
      <c r="D22" s="3">
        <v>4</v>
      </c>
      <c r="E22" s="3">
        <v>3</v>
      </c>
      <c r="F22" s="4">
        <f t="shared" si="1"/>
        <v>2.9702970297029702E-2</v>
      </c>
    </row>
    <row r="23" spans="1:6">
      <c r="A23" s="2">
        <v>4</v>
      </c>
      <c r="B23" s="3" t="s">
        <v>132</v>
      </c>
      <c r="C23" s="3" t="s">
        <v>133</v>
      </c>
      <c r="D23" s="3">
        <v>3</v>
      </c>
      <c r="E23" s="3">
        <v>3</v>
      </c>
      <c r="F23" s="4">
        <f t="shared" si="1"/>
        <v>2.9702970297029702E-2</v>
      </c>
    </row>
    <row r="24" spans="1:6">
      <c r="A24" s="2">
        <v>5</v>
      </c>
      <c r="B24" s="3" t="s">
        <v>106</v>
      </c>
      <c r="C24" s="3" t="s">
        <v>107</v>
      </c>
      <c r="D24" s="3">
        <v>13</v>
      </c>
      <c r="E24" s="3">
        <v>2</v>
      </c>
      <c r="F24" s="4">
        <f t="shared" si="1"/>
        <v>1.9801980198019802E-2</v>
      </c>
    </row>
    <row r="25" spans="1:6">
      <c r="A25" s="2">
        <v>6</v>
      </c>
      <c r="B25" s="3" t="s">
        <v>134</v>
      </c>
      <c r="C25" s="3" t="s">
        <v>135</v>
      </c>
      <c r="D25" s="3">
        <v>8</v>
      </c>
      <c r="E25" s="3">
        <v>2</v>
      </c>
      <c r="F25" s="4">
        <f t="shared" si="1"/>
        <v>1.9801980198019802E-2</v>
      </c>
    </row>
    <row r="26" spans="1:6">
      <c r="A26" s="2">
        <v>7</v>
      </c>
      <c r="B26" s="3" t="s">
        <v>136</v>
      </c>
      <c r="C26" s="3" t="s">
        <v>137</v>
      </c>
      <c r="D26" s="3">
        <v>8</v>
      </c>
      <c r="E26" s="3">
        <v>2</v>
      </c>
      <c r="F26" s="4">
        <f t="shared" si="1"/>
        <v>1.9801980198019802E-2</v>
      </c>
    </row>
    <row r="27" spans="1:6">
      <c r="A27" s="2">
        <v>8</v>
      </c>
      <c r="B27" s="3" t="s">
        <v>138</v>
      </c>
      <c r="C27" s="3" t="s">
        <v>139</v>
      </c>
      <c r="D27" s="3">
        <v>7</v>
      </c>
      <c r="E27" s="3">
        <v>2</v>
      </c>
      <c r="F27" s="4">
        <f t="shared" si="1"/>
        <v>1.9801980198019802E-2</v>
      </c>
    </row>
    <row r="28" spans="1:6">
      <c r="A28" s="2">
        <v>9</v>
      </c>
      <c r="B28" s="3" t="s">
        <v>140</v>
      </c>
      <c r="C28" s="3" t="s">
        <v>141</v>
      </c>
      <c r="D28" s="3">
        <v>5</v>
      </c>
      <c r="E28" s="3">
        <v>2</v>
      </c>
      <c r="F28" s="4">
        <f t="shared" si="1"/>
        <v>1.9801980198019802E-2</v>
      </c>
    </row>
    <row r="29" spans="1:6" ht="15.75" thickBot="1">
      <c r="A29" s="2">
        <v>10</v>
      </c>
      <c r="B29" s="3" t="s">
        <v>142</v>
      </c>
      <c r="C29" s="3" t="s">
        <v>143</v>
      </c>
      <c r="D29" s="3">
        <v>5</v>
      </c>
      <c r="E29" s="3">
        <v>2</v>
      </c>
      <c r="F29" s="4">
        <f t="shared" si="1"/>
        <v>1.9801980198019802E-2</v>
      </c>
    </row>
    <row r="30" spans="1:6">
      <c r="A30" s="6"/>
      <c r="B30" s="7" t="s">
        <v>89</v>
      </c>
      <c r="C30" s="7"/>
      <c r="D30" s="7">
        <f>SUM(D20:D29)</f>
        <v>66</v>
      </c>
      <c r="E30" s="7">
        <f>SUM(E20:E29)</f>
        <v>25</v>
      </c>
      <c r="F30" s="8">
        <f>SUM(F20:F29)</f>
        <v>0.24752475247524747</v>
      </c>
    </row>
  </sheetData>
  <mergeCells count="1">
    <mergeCell ref="A1:F1"/>
  </mergeCells>
  <conditionalFormatting sqref="F5:F14">
    <cfRule type="dataBar" priority="1">
      <dataBar>
        <cfvo type="num" val="0"/>
        <cfvo type="max"/>
        <color rgb="FF9DB7D5"/>
      </dataBar>
      <extLst>
        <ext xmlns:x14="http://schemas.microsoft.com/office/spreadsheetml/2009/9/main" uri="{B025F937-C7B1-47D3-B67F-A62EFF666E3E}">
          <x14:id>{A3BE81E8-6ACD-440A-840E-39D2E1F09E0B}</x14:id>
        </ext>
      </extLst>
    </cfRule>
  </conditionalFormatting>
  <conditionalFormatting sqref="F20:F29">
    <cfRule type="dataBar" priority="2">
      <dataBar>
        <cfvo type="num" val="0"/>
        <cfvo type="max"/>
        <color rgb="FF9DB7D5"/>
      </dataBar>
      <extLst>
        <ext xmlns:x14="http://schemas.microsoft.com/office/spreadsheetml/2009/9/main" uri="{B025F937-C7B1-47D3-B67F-A62EFF666E3E}">
          <x14:id>{EB259064-E744-4202-AFCB-D60D8E375BD9}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3BE81E8-6ACD-440A-840E-39D2E1F09E0B}">
            <x14:dataBar axisPosition="none">
              <x14:cfvo type="num">
                <xm:f>0</xm:f>
              </x14:cfvo>
              <x14:cfvo type="max"/>
              <x14:negativeFillColor rgb="FF9DB7D5"/>
            </x14:dataBar>
          </x14:cfRule>
          <xm:sqref>F5:F14</xm:sqref>
        </x14:conditionalFormatting>
        <x14:conditionalFormatting xmlns:xm="http://schemas.microsoft.com/office/excel/2006/main">
          <x14:cfRule type="dataBar" id="{EB259064-E744-4202-AFCB-D60D8E375BD9}">
            <x14:dataBar axisPosition="none">
              <x14:cfvo type="num">
                <xm:f>0</xm:f>
              </x14:cfvo>
              <x14:cfvo type="max"/>
              <x14:negativeFillColor rgb="FF9DB7D5"/>
            </x14:dataBar>
          </x14:cfRule>
          <xm:sqref>F20:F29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06640-2076-4CB3-99CD-BFBA78C6A800}">
  <dimension ref="A1:E10"/>
  <sheetViews>
    <sheetView workbookViewId="0">
      <selection activeCell="F28" sqref="F28"/>
    </sheetView>
  </sheetViews>
  <sheetFormatPr defaultRowHeight="15"/>
  <cols>
    <col min="1" max="1" width="15.28515625" customWidth="1"/>
    <col min="2" max="2" width="13.28515625" customWidth="1"/>
    <col min="3" max="3" width="16.140625" customWidth="1"/>
    <col min="4" max="4" width="16.5703125" customWidth="1"/>
    <col min="5" max="5" width="16.140625" customWidth="1"/>
  </cols>
  <sheetData>
    <row r="1" spans="1:5" ht="18">
      <c r="A1" s="17" t="s">
        <v>45</v>
      </c>
      <c r="B1" s="17"/>
      <c r="C1" s="17"/>
      <c r="D1" s="17"/>
      <c r="E1" s="17"/>
    </row>
    <row r="3" spans="1:5" ht="30.75" customHeight="1">
      <c r="A3" s="10" t="s">
        <v>46</v>
      </c>
      <c r="B3" s="10" t="s">
        <v>44</v>
      </c>
      <c r="C3" s="10" t="s">
        <v>47</v>
      </c>
      <c r="D3" s="10" t="s">
        <v>13</v>
      </c>
      <c r="E3" s="10" t="s">
        <v>48</v>
      </c>
    </row>
    <row r="4" spans="1:5">
      <c r="A4" s="11" t="s">
        <v>49</v>
      </c>
      <c r="B4" s="11">
        <v>388</v>
      </c>
      <c r="C4" s="12">
        <f t="shared" ref="C4:C9" si="0">B4/$B$10</f>
        <v>0.22032935831913686</v>
      </c>
      <c r="D4" s="11">
        <v>7</v>
      </c>
      <c r="E4" s="12">
        <f t="shared" ref="E4:E9" si="1">D4/$D$10</f>
        <v>6.9306930693069313E-2</v>
      </c>
    </row>
    <row r="5" spans="1:5">
      <c r="A5" s="11" t="s">
        <v>50</v>
      </c>
      <c r="B5" s="11">
        <v>218</v>
      </c>
      <c r="C5" s="12">
        <f t="shared" si="0"/>
        <v>0.12379329926178308</v>
      </c>
      <c r="D5" s="11">
        <v>3</v>
      </c>
      <c r="E5" s="12">
        <f t="shared" si="1"/>
        <v>2.9702970297029702E-2</v>
      </c>
    </row>
    <row r="6" spans="1:5">
      <c r="A6" s="11" t="s">
        <v>51</v>
      </c>
      <c r="B6" s="11">
        <v>138</v>
      </c>
      <c r="C6" s="12">
        <f t="shared" si="0"/>
        <v>7.8364565587734247E-2</v>
      </c>
      <c r="D6" s="11">
        <v>7</v>
      </c>
      <c r="E6" s="12">
        <f t="shared" si="1"/>
        <v>6.9306930693069313E-2</v>
      </c>
    </row>
    <row r="7" spans="1:5">
      <c r="A7" s="11" t="s">
        <v>52</v>
      </c>
      <c r="B7" s="11">
        <v>259</v>
      </c>
      <c r="C7" s="12">
        <f t="shared" si="0"/>
        <v>0.14707552526973311</v>
      </c>
      <c r="D7" s="11">
        <v>12</v>
      </c>
      <c r="E7" s="12">
        <f t="shared" si="1"/>
        <v>0.11881188118811881</v>
      </c>
    </row>
    <row r="8" spans="1:5">
      <c r="A8" s="11" t="s">
        <v>53</v>
      </c>
      <c r="B8" s="11">
        <v>754</v>
      </c>
      <c r="C8" s="12">
        <f t="shared" si="0"/>
        <v>0.42816581487791028</v>
      </c>
      <c r="D8" s="11">
        <v>72</v>
      </c>
      <c r="E8" s="12">
        <f t="shared" si="1"/>
        <v>0.71287128712871284</v>
      </c>
    </row>
    <row r="9" spans="1:5" ht="15.75" thickBot="1">
      <c r="A9" s="11" t="s">
        <v>54</v>
      </c>
      <c r="B9" s="11">
        <v>4</v>
      </c>
      <c r="C9" s="12">
        <f t="shared" si="0"/>
        <v>2.2714366837024418E-3</v>
      </c>
      <c r="D9" s="11">
        <v>0</v>
      </c>
      <c r="E9" s="12">
        <f t="shared" si="1"/>
        <v>0</v>
      </c>
    </row>
    <row r="10" spans="1:5">
      <c r="A10" s="14" t="s">
        <v>10</v>
      </c>
      <c r="B10" s="14">
        <f>SUM(B4:B9)</f>
        <v>1761</v>
      </c>
      <c r="C10" s="15">
        <f>SUM(C4:C9)</f>
        <v>1</v>
      </c>
      <c r="D10" s="14">
        <f>SUM(D4:D9)</f>
        <v>101</v>
      </c>
      <c r="E10" s="15">
        <f>SUM(E4:E9)</f>
        <v>1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4197F-616D-449B-834C-79A69DE00499}">
  <dimension ref="A1:E11"/>
  <sheetViews>
    <sheetView workbookViewId="0">
      <selection activeCell="H32" sqref="H32"/>
    </sheetView>
  </sheetViews>
  <sheetFormatPr defaultRowHeight="15"/>
  <cols>
    <col min="1" max="1" width="22" customWidth="1"/>
    <col min="2" max="2" width="13" customWidth="1"/>
    <col min="3" max="3" width="16" customWidth="1"/>
    <col min="4" max="4" width="12" customWidth="1"/>
    <col min="5" max="5" width="14" customWidth="1"/>
  </cols>
  <sheetData>
    <row r="1" spans="1:5" ht="18">
      <c r="A1" s="17" t="s">
        <v>55</v>
      </c>
      <c r="B1" s="17"/>
      <c r="C1" s="17"/>
      <c r="D1" s="17"/>
      <c r="E1" s="17"/>
    </row>
    <row r="3" spans="1:5" ht="25.5">
      <c r="A3" s="10" t="s">
        <v>56</v>
      </c>
      <c r="B3" s="10" t="s">
        <v>44</v>
      </c>
      <c r="C3" s="10" t="s">
        <v>47</v>
      </c>
      <c r="D3" s="10" t="s">
        <v>13</v>
      </c>
      <c r="E3" s="10" t="s">
        <v>48</v>
      </c>
    </row>
    <row r="4" spans="1:5">
      <c r="A4" s="11" t="s">
        <v>57</v>
      </c>
      <c r="B4" s="11">
        <v>1404</v>
      </c>
      <c r="C4" s="12">
        <f t="shared" ref="C4:C10" si="0">B4/$B$11</f>
        <v>0.80091272104962918</v>
      </c>
      <c r="D4" s="11">
        <v>93</v>
      </c>
      <c r="E4" s="12">
        <f t="shared" ref="E4:E10" si="1">D4/$D$11</f>
        <v>0.92079207920792083</v>
      </c>
    </row>
    <row r="5" spans="1:5">
      <c r="A5" s="11" t="s">
        <v>58</v>
      </c>
      <c r="B5" s="11">
        <v>217</v>
      </c>
      <c r="C5" s="12">
        <f t="shared" si="0"/>
        <v>0.12378779235596121</v>
      </c>
      <c r="D5" s="11">
        <v>2</v>
      </c>
      <c r="E5" s="12">
        <f t="shared" si="1"/>
        <v>1.9801980198019802E-2</v>
      </c>
    </row>
    <row r="6" spans="1:5">
      <c r="A6" s="11" t="s">
        <v>59</v>
      </c>
      <c r="B6" s="11">
        <v>75</v>
      </c>
      <c r="C6" s="12">
        <f t="shared" si="0"/>
        <v>4.2783799201369078E-2</v>
      </c>
      <c r="D6" s="11">
        <v>0</v>
      </c>
      <c r="E6" s="12">
        <f t="shared" si="1"/>
        <v>0</v>
      </c>
    </row>
    <row r="7" spans="1:5">
      <c r="A7" s="11" t="s">
        <v>60</v>
      </c>
      <c r="B7" s="11">
        <v>26</v>
      </c>
      <c r="C7" s="12">
        <f t="shared" si="0"/>
        <v>1.4831717056474614E-2</v>
      </c>
      <c r="D7" s="11">
        <v>6</v>
      </c>
      <c r="E7" s="12">
        <f t="shared" si="1"/>
        <v>5.9405940594059403E-2</v>
      </c>
    </row>
    <row r="8" spans="1:5">
      <c r="A8" s="11" t="s">
        <v>61</v>
      </c>
      <c r="B8" s="11">
        <v>23</v>
      </c>
      <c r="C8" s="12">
        <f t="shared" si="0"/>
        <v>1.3120365088419851E-2</v>
      </c>
      <c r="D8" s="11">
        <v>0</v>
      </c>
      <c r="E8" s="12">
        <f t="shared" si="1"/>
        <v>0</v>
      </c>
    </row>
    <row r="9" spans="1:5">
      <c r="A9" s="11" t="s">
        <v>62</v>
      </c>
      <c r="B9" s="11">
        <v>5</v>
      </c>
      <c r="C9" s="12">
        <f t="shared" si="0"/>
        <v>2.8522532800912721E-3</v>
      </c>
      <c r="D9" s="11">
        <v>0</v>
      </c>
      <c r="E9" s="12">
        <f t="shared" si="1"/>
        <v>0</v>
      </c>
    </row>
    <row r="10" spans="1:5" ht="15.75" thickBot="1">
      <c r="A10" s="11" t="s">
        <v>63</v>
      </c>
      <c r="B10" s="11">
        <v>3</v>
      </c>
      <c r="C10" s="12">
        <f t="shared" si="0"/>
        <v>1.7113519680547634E-3</v>
      </c>
      <c r="D10" s="11">
        <v>0</v>
      </c>
      <c r="E10" s="12">
        <f t="shared" si="1"/>
        <v>0</v>
      </c>
    </row>
    <row r="11" spans="1:5">
      <c r="A11" s="14" t="s">
        <v>10</v>
      </c>
      <c r="B11" s="14">
        <f>SUM(B4:B10)</f>
        <v>1753</v>
      </c>
      <c r="C11" s="15">
        <f>SUM(C4:C10)</f>
        <v>0.99999999999999989</v>
      </c>
      <c r="D11" s="14">
        <f>SUM(D4:D10)</f>
        <v>101</v>
      </c>
      <c r="E11" s="15">
        <f>SUM(E4:E10)</f>
        <v>1</v>
      </c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E0B15-A7A0-4D61-BEA1-93B9EC262FA9}">
  <dimension ref="A1:F30"/>
  <sheetViews>
    <sheetView tabSelected="1" workbookViewId="0">
      <selection activeCell="I27" sqref="I27"/>
    </sheetView>
  </sheetViews>
  <sheetFormatPr defaultRowHeight="15"/>
  <cols>
    <col min="1" max="1" width="12.5703125" customWidth="1"/>
    <col min="2" max="2" width="21.140625" bestFit="1" customWidth="1"/>
    <col min="3" max="6" width="12.5703125" customWidth="1"/>
  </cols>
  <sheetData>
    <row r="1" spans="1:6" ht="18">
      <c r="A1" s="17" t="s">
        <v>64</v>
      </c>
      <c r="B1" s="17"/>
      <c r="C1" s="17"/>
      <c r="D1" s="17"/>
      <c r="E1" s="17"/>
      <c r="F1" s="17"/>
    </row>
    <row r="3" spans="1:6">
      <c r="A3" s="18" t="s">
        <v>65</v>
      </c>
    </row>
    <row r="4" spans="1:6" ht="25.5">
      <c r="A4" s="10" t="s">
        <v>0</v>
      </c>
      <c r="B4" s="10" t="s">
        <v>66</v>
      </c>
      <c r="C4" s="10" t="s">
        <v>67</v>
      </c>
      <c r="D4" s="10" t="s">
        <v>44</v>
      </c>
      <c r="E4" s="10" t="s">
        <v>13</v>
      </c>
      <c r="F4" s="10" t="s">
        <v>68</v>
      </c>
    </row>
    <row r="5" spans="1:6">
      <c r="A5" s="19">
        <v>1</v>
      </c>
      <c r="B5" s="11" t="s">
        <v>69</v>
      </c>
      <c r="C5" s="11" t="s">
        <v>70</v>
      </c>
      <c r="D5" s="11">
        <v>56</v>
      </c>
      <c r="E5" s="11">
        <v>6</v>
      </c>
      <c r="F5" s="12">
        <f>D5/1761</f>
        <v>3.1800113571834182E-2</v>
      </c>
    </row>
    <row r="6" spans="1:6">
      <c r="A6" s="19">
        <v>2</v>
      </c>
      <c r="B6" s="11" t="s">
        <v>71</v>
      </c>
      <c r="C6" s="11" t="s">
        <v>72</v>
      </c>
      <c r="D6" s="11">
        <v>51</v>
      </c>
      <c r="E6" s="11">
        <v>5</v>
      </c>
      <c r="F6" s="12">
        <f t="shared" ref="F6:F14" si="0">D6/1761</f>
        <v>2.8960817717206135E-2</v>
      </c>
    </row>
    <row r="7" spans="1:6">
      <c r="A7" s="19">
        <v>3</v>
      </c>
      <c r="B7" s="11" t="s">
        <v>73</v>
      </c>
      <c r="C7" s="11" t="s">
        <v>74</v>
      </c>
      <c r="D7" s="11">
        <v>45</v>
      </c>
      <c r="E7" s="11">
        <v>1</v>
      </c>
      <c r="F7" s="12">
        <f t="shared" si="0"/>
        <v>2.5553662691652469E-2</v>
      </c>
    </row>
    <row r="8" spans="1:6">
      <c r="A8" s="19">
        <v>4</v>
      </c>
      <c r="B8" s="11" t="s">
        <v>75</v>
      </c>
      <c r="C8" s="11" t="s">
        <v>76</v>
      </c>
      <c r="D8" s="11">
        <v>43</v>
      </c>
      <c r="E8" s="11">
        <v>1</v>
      </c>
      <c r="F8" s="12">
        <f t="shared" si="0"/>
        <v>2.4417944349801251E-2</v>
      </c>
    </row>
    <row r="9" spans="1:6">
      <c r="A9" s="19">
        <v>5</v>
      </c>
      <c r="B9" s="11" t="s">
        <v>77</v>
      </c>
      <c r="C9" s="11" t="s">
        <v>78</v>
      </c>
      <c r="D9" s="11">
        <v>39</v>
      </c>
      <c r="E9" s="11">
        <v>0</v>
      </c>
      <c r="F9" s="12">
        <f t="shared" si="0"/>
        <v>2.2146507666098807E-2</v>
      </c>
    </row>
    <row r="10" spans="1:6">
      <c r="A10" s="19">
        <v>6</v>
      </c>
      <c r="B10" s="11" t="s">
        <v>79</v>
      </c>
      <c r="C10" s="11" t="s">
        <v>80</v>
      </c>
      <c r="D10" s="11">
        <v>34</v>
      </c>
      <c r="E10" s="11">
        <v>2</v>
      </c>
      <c r="F10" s="12">
        <f t="shared" si="0"/>
        <v>1.9307211811470756E-2</v>
      </c>
    </row>
    <row r="11" spans="1:6">
      <c r="A11" s="19">
        <v>7</v>
      </c>
      <c r="B11" s="11" t="s">
        <v>81</v>
      </c>
      <c r="C11" s="11" t="s">
        <v>82</v>
      </c>
      <c r="D11" s="11">
        <v>34</v>
      </c>
      <c r="E11" s="11">
        <v>0</v>
      </c>
      <c r="F11" s="12">
        <f t="shared" si="0"/>
        <v>1.9307211811470756E-2</v>
      </c>
    </row>
    <row r="12" spans="1:6">
      <c r="A12" s="19">
        <v>8</v>
      </c>
      <c r="B12" s="11" t="s">
        <v>83</v>
      </c>
      <c r="C12" s="11" t="s">
        <v>84</v>
      </c>
      <c r="D12" s="11">
        <v>32</v>
      </c>
      <c r="E12" s="11">
        <v>3</v>
      </c>
      <c r="F12" s="12">
        <f t="shared" si="0"/>
        <v>1.8171493469619535E-2</v>
      </c>
    </row>
    <row r="13" spans="1:6">
      <c r="A13" s="19">
        <v>9</v>
      </c>
      <c r="B13" s="11" t="s">
        <v>85</v>
      </c>
      <c r="C13" s="11" t="s">
        <v>86</v>
      </c>
      <c r="D13" s="11">
        <v>32</v>
      </c>
      <c r="E13" s="11">
        <v>0</v>
      </c>
      <c r="F13" s="12">
        <f t="shared" si="0"/>
        <v>1.8171493469619535E-2</v>
      </c>
    </row>
    <row r="14" spans="1:6" ht="15.75" thickBot="1">
      <c r="A14" s="19">
        <v>10</v>
      </c>
      <c r="B14" s="11" t="s">
        <v>87</v>
      </c>
      <c r="C14" s="11" t="s">
        <v>88</v>
      </c>
      <c r="D14" s="11">
        <v>29</v>
      </c>
      <c r="E14" s="11">
        <v>3</v>
      </c>
      <c r="F14" s="12">
        <f t="shared" si="0"/>
        <v>1.6467915956842702E-2</v>
      </c>
    </row>
    <row r="15" spans="1:6">
      <c r="A15" s="20"/>
      <c r="B15" s="14" t="s">
        <v>89</v>
      </c>
      <c r="C15" s="14"/>
      <c r="D15" s="14">
        <f>SUM(D5:D14)</f>
        <v>395</v>
      </c>
      <c r="E15" s="14">
        <f>SUM(E5:E14)</f>
        <v>21</v>
      </c>
      <c r="F15" s="15">
        <f>SUM(F5:F14)</f>
        <v>0.22430437251561619</v>
      </c>
    </row>
    <row r="18" spans="1:6">
      <c r="A18" s="18" t="s">
        <v>90</v>
      </c>
    </row>
    <row r="19" spans="1:6" ht="25.5">
      <c r="A19" s="10" t="s">
        <v>0</v>
      </c>
      <c r="B19" s="10" t="s">
        <v>66</v>
      </c>
      <c r="C19" s="10" t="s">
        <v>67</v>
      </c>
      <c r="D19" s="10" t="s">
        <v>44</v>
      </c>
      <c r="E19" s="10" t="s">
        <v>13</v>
      </c>
      <c r="F19" s="10" t="s">
        <v>91</v>
      </c>
    </row>
    <row r="20" spans="1:6">
      <c r="A20" s="19">
        <v>1</v>
      </c>
      <c r="B20" s="11" t="s">
        <v>92</v>
      </c>
      <c r="C20" s="11" t="s">
        <v>93</v>
      </c>
      <c r="D20" s="11">
        <v>17</v>
      </c>
      <c r="E20" s="11">
        <v>10</v>
      </c>
      <c r="F20" s="12">
        <f>E20/101</f>
        <v>9.9009900990099015E-2</v>
      </c>
    </row>
    <row r="21" spans="1:6">
      <c r="A21" s="19">
        <v>2</v>
      </c>
      <c r="B21" s="11" t="s">
        <v>94</v>
      </c>
      <c r="C21" s="11" t="s">
        <v>95</v>
      </c>
      <c r="D21" s="11">
        <v>7</v>
      </c>
      <c r="E21" s="11">
        <v>7</v>
      </c>
      <c r="F21" s="12">
        <f t="shared" ref="F21:F29" si="1">E21/101</f>
        <v>6.9306930693069313E-2</v>
      </c>
    </row>
    <row r="22" spans="1:6">
      <c r="A22" s="19">
        <v>3</v>
      </c>
      <c r="B22" s="11" t="s">
        <v>69</v>
      </c>
      <c r="C22" s="11" t="s">
        <v>70</v>
      </c>
      <c r="D22" s="11">
        <v>56</v>
      </c>
      <c r="E22" s="11">
        <v>6</v>
      </c>
      <c r="F22" s="12">
        <f t="shared" si="1"/>
        <v>5.9405940594059403E-2</v>
      </c>
    </row>
    <row r="23" spans="1:6">
      <c r="A23" s="19">
        <v>4</v>
      </c>
      <c r="B23" s="11" t="s">
        <v>71</v>
      </c>
      <c r="C23" s="11" t="s">
        <v>72</v>
      </c>
      <c r="D23" s="11">
        <v>51</v>
      </c>
      <c r="E23" s="11">
        <v>5</v>
      </c>
      <c r="F23" s="12">
        <f t="shared" si="1"/>
        <v>4.9504950495049507E-2</v>
      </c>
    </row>
    <row r="24" spans="1:6">
      <c r="A24" s="19">
        <v>5</v>
      </c>
      <c r="B24" s="11" t="s">
        <v>96</v>
      </c>
      <c r="C24" s="11" t="s">
        <v>97</v>
      </c>
      <c r="D24" s="11">
        <v>25</v>
      </c>
      <c r="E24" s="11">
        <v>4</v>
      </c>
      <c r="F24" s="12">
        <f t="shared" si="1"/>
        <v>3.9603960396039604E-2</v>
      </c>
    </row>
    <row r="25" spans="1:6">
      <c r="A25" s="19">
        <v>6</v>
      </c>
      <c r="B25" s="11" t="s">
        <v>98</v>
      </c>
      <c r="C25" s="11" t="s">
        <v>99</v>
      </c>
      <c r="D25" s="11">
        <v>18</v>
      </c>
      <c r="E25" s="11">
        <v>4</v>
      </c>
      <c r="F25" s="12">
        <f t="shared" si="1"/>
        <v>3.9603960396039604E-2</v>
      </c>
    </row>
    <row r="26" spans="1:6">
      <c r="A26" s="19">
        <v>7</v>
      </c>
      <c r="B26" s="11" t="s">
        <v>100</v>
      </c>
      <c r="C26" s="11" t="s">
        <v>101</v>
      </c>
      <c r="D26" s="11">
        <v>13</v>
      </c>
      <c r="E26" s="11">
        <v>4</v>
      </c>
      <c r="F26" s="12">
        <f t="shared" si="1"/>
        <v>3.9603960396039604E-2</v>
      </c>
    </row>
    <row r="27" spans="1:6">
      <c r="A27" s="19">
        <v>8</v>
      </c>
      <c r="B27" s="11" t="s">
        <v>83</v>
      </c>
      <c r="C27" s="11" t="s">
        <v>84</v>
      </c>
      <c r="D27" s="11">
        <v>32</v>
      </c>
      <c r="E27" s="11">
        <v>3</v>
      </c>
      <c r="F27" s="12">
        <f t="shared" si="1"/>
        <v>2.9702970297029702E-2</v>
      </c>
    </row>
    <row r="28" spans="1:6">
      <c r="A28" s="19">
        <v>9</v>
      </c>
      <c r="B28" s="11" t="s">
        <v>87</v>
      </c>
      <c r="C28" s="11" t="s">
        <v>88</v>
      </c>
      <c r="D28" s="11">
        <v>29</v>
      </c>
      <c r="E28" s="11">
        <v>3</v>
      </c>
      <c r="F28" s="12">
        <f t="shared" si="1"/>
        <v>2.9702970297029702E-2</v>
      </c>
    </row>
    <row r="29" spans="1:6" ht="15.75" thickBot="1">
      <c r="A29" s="19">
        <v>10</v>
      </c>
      <c r="B29" s="11" t="s">
        <v>102</v>
      </c>
      <c r="C29" s="11" t="s">
        <v>103</v>
      </c>
      <c r="D29" s="11">
        <v>24</v>
      </c>
      <c r="E29" s="11">
        <v>3</v>
      </c>
      <c r="F29" s="12">
        <f t="shared" si="1"/>
        <v>2.9702970297029702E-2</v>
      </c>
    </row>
    <row r="30" spans="1:6">
      <c r="A30" s="20"/>
      <c r="B30" s="14" t="s">
        <v>89</v>
      </c>
      <c r="C30" s="14"/>
      <c r="D30" s="14">
        <f>SUM(D20:D29)</f>
        <v>272</v>
      </c>
      <c r="E30" s="14">
        <f>SUM(E20:E29)</f>
        <v>49</v>
      </c>
      <c r="F30" s="15">
        <f>SUM(F20:F29)</f>
        <v>0.48514851485148514</v>
      </c>
    </row>
  </sheetData>
  <mergeCells count="1">
    <mergeCell ref="A1:F1"/>
  </mergeCells>
  <conditionalFormatting sqref="F5:F14">
    <cfRule type="dataBar" priority="1">
      <dataBar>
        <cfvo type="num" val="0"/>
        <cfvo type="max"/>
        <color rgb="FF9DB7D5"/>
      </dataBar>
      <extLst>
        <ext xmlns:x14="http://schemas.microsoft.com/office/spreadsheetml/2009/9/main" uri="{B025F937-C7B1-47D3-B67F-A62EFF666E3E}">
          <x14:id>{E139D9CF-BCFF-4E74-93D4-E6C396EC5D85}</x14:id>
        </ext>
      </extLst>
    </cfRule>
  </conditionalFormatting>
  <conditionalFormatting sqref="F20:F29">
    <cfRule type="dataBar" priority="2">
      <dataBar>
        <cfvo type="num" val="0"/>
        <cfvo type="max"/>
        <color rgb="FF9DB7D5"/>
      </dataBar>
      <extLst>
        <ext xmlns:x14="http://schemas.microsoft.com/office/spreadsheetml/2009/9/main" uri="{B025F937-C7B1-47D3-B67F-A62EFF666E3E}">
          <x14:id>{86793F41-8384-4218-ADA0-B65BAE4B7D74}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139D9CF-BCFF-4E74-93D4-E6C396EC5D85}">
            <x14:dataBar axisPosition="none">
              <x14:cfvo type="num">
                <xm:f>0</xm:f>
              </x14:cfvo>
              <x14:cfvo type="max"/>
              <x14:negativeFillColor rgb="FF9DB7D5"/>
            </x14:dataBar>
          </x14:cfRule>
          <xm:sqref>F5:F14</xm:sqref>
        </x14:conditionalFormatting>
        <x14:conditionalFormatting xmlns:xm="http://schemas.microsoft.com/office/excel/2006/main">
          <x14:cfRule type="dataBar" id="{86793F41-8384-4218-ADA0-B65BAE4B7D74}">
            <x14:dataBar axisPosition="none">
              <x14:cfvo type="num">
                <xm:f>0</xm:f>
              </x14:cfvo>
              <x14:cfvo type="max"/>
              <x14:negativeFillColor rgb="FF9DB7D5"/>
            </x14:dataBar>
          </x14:cfRule>
          <xm:sqref>F20:F29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Branchwise-Foreclosure</vt:lpstr>
      <vt:lpstr>Branchwise-Bank_Takeover</vt:lpstr>
      <vt:lpstr>Initiating RM</vt:lpstr>
      <vt:lpstr>Interest Rate</vt:lpstr>
      <vt:lpstr>Product Cat</vt:lpstr>
      <vt:lpstr>Initiating STM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2026-09-28T17:17:26Z</dcterms:created>
  <dcterms:modified xsi:type="dcterms:W3CDTF">2026-09-28T17:52:38Z</dcterms:modified>
</cp:coreProperties>
</file>