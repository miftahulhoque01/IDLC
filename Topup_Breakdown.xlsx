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LOCAL REPORTS\Others\Adnan Bhai Data\"/>
    </mc:Choice>
  </mc:AlternateContent>
  <bookViews>
    <workbookView xWindow="0" yWindow="0" windowWidth="20496" windowHeight="7764"/>
  </bookViews>
  <sheets>
    <sheet name="Branch-wise" sheetId="3" r:id="rId1"/>
    <sheet name="RM-Wise" sheetId="6" r:id="rId2"/>
    <sheet name="Interest_Rate-wise" sheetId="7" r:id="rId3"/>
    <sheet name="STM Wise" sheetId="4" state="hidden" r:id="rId4"/>
  </sheets>
  <externalReferences>
    <externalReference r:id="rId5"/>
    <externalReference r:id="rId6"/>
    <externalReference r:id="rId7"/>
  </externalReferences>
  <definedNames>
    <definedName name="_xlnm._FilterDatabase" localSheetId="0" hidden="1">'Branch-wise'!$A$1:$F$273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03" i="7" l="1"/>
  <c r="E303" i="7"/>
  <c r="E302" i="7"/>
  <c r="F302" i="7" s="1"/>
  <c r="F301" i="7"/>
  <c r="E301" i="7"/>
  <c r="E300" i="7"/>
  <c r="F300" i="7" s="1"/>
  <c r="E299" i="7"/>
  <c r="F299" i="7" s="1"/>
  <c r="E298" i="7"/>
  <c r="F298" i="7" s="1"/>
  <c r="E297" i="7"/>
  <c r="F297" i="7" s="1"/>
  <c r="F296" i="7"/>
  <c r="E296" i="7"/>
  <c r="E295" i="7"/>
  <c r="F295" i="7" s="1"/>
  <c r="F294" i="7"/>
  <c r="E294" i="7"/>
  <c r="E293" i="7"/>
  <c r="F293" i="7" s="1"/>
  <c r="E292" i="7"/>
  <c r="F292" i="7" s="1"/>
  <c r="E291" i="7"/>
  <c r="F291" i="7" s="1"/>
  <c r="E290" i="7"/>
  <c r="F290" i="7" s="1"/>
  <c r="F289" i="7"/>
  <c r="E289" i="7"/>
  <c r="E288" i="7"/>
  <c r="F288" i="7" s="1"/>
  <c r="F287" i="7"/>
  <c r="E287" i="7"/>
  <c r="E286" i="7"/>
  <c r="F286" i="7" s="1"/>
  <c r="E285" i="7"/>
  <c r="F285" i="7" s="1"/>
  <c r="E284" i="7"/>
  <c r="F284" i="7" s="1"/>
  <c r="E283" i="7"/>
  <c r="F283" i="7" s="1"/>
  <c r="F282" i="7"/>
  <c r="E282" i="7"/>
  <c r="E281" i="7"/>
  <c r="F281" i="7" s="1"/>
  <c r="F280" i="7"/>
  <c r="E280" i="7"/>
  <c r="E279" i="7"/>
  <c r="F279" i="7" s="1"/>
  <c r="E278" i="7"/>
  <c r="F278" i="7" s="1"/>
  <c r="E277" i="7"/>
  <c r="F277" i="7" s="1"/>
  <c r="E276" i="7"/>
  <c r="F276" i="7" s="1"/>
  <c r="F275" i="7"/>
  <c r="E275" i="7"/>
  <c r="E274" i="7"/>
  <c r="F274" i="7" s="1"/>
  <c r="F273" i="7"/>
  <c r="E273" i="7"/>
  <c r="E272" i="7"/>
  <c r="F272" i="7" s="1"/>
  <c r="E271" i="7"/>
  <c r="F271" i="7" s="1"/>
  <c r="E270" i="7"/>
  <c r="F270" i="7" s="1"/>
  <c r="E269" i="7"/>
  <c r="F269" i="7" s="1"/>
  <c r="F268" i="7"/>
  <c r="E268" i="7"/>
  <c r="E267" i="7"/>
  <c r="F267" i="7" s="1"/>
  <c r="F266" i="7"/>
  <c r="E266" i="7"/>
  <c r="E265" i="7"/>
  <c r="F265" i="7" s="1"/>
  <c r="E264" i="7"/>
  <c r="F264" i="7" s="1"/>
  <c r="E263" i="7"/>
  <c r="F263" i="7" s="1"/>
  <c r="E262" i="7"/>
  <c r="F262" i="7" s="1"/>
  <c r="F261" i="7"/>
  <c r="E261" i="7"/>
  <c r="E260" i="7"/>
  <c r="F260" i="7" s="1"/>
  <c r="F259" i="7"/>
  <c r="E259" i="7"/>
  <c r="E258" i="7"/>
  <c r="F258" i="7" s="1"/>
  <c r="E257" i="7"/>
  <c r="F257" i="7" s="1"/>
  <c r="E256" i="7"/>
  <c r="F256" i="7" s="1"/>
  <c r="E255" i="7"/>
  <c r="F255" i="7" s="1"/>
  <c r="F254" i="7"/>
  <c r="E254" i="7"/>
  <c r="E253" i="7"/>
  <c r="F253" i="7" s="1"/>
  <c r="F252" i="7"/>
  <c r="E252" i="7"/>
  <c r="E251" i="7"/>
  <c r="F251" i="7" s="1"/>
  <c r="E250" i="7"/>
  <c r="F250" i="7" s="1"/>
  <c r="E249" i="7"/>
  <c r="F249" i="7" s="1"/>
  <c r="E248" i="7"/>
  <c r="F248" i="7" s="1"/>
  <c r="F247" i="7"/>
  <c r="E247" i="7"/>
  <c r="E246" i="7"/>
  <c r="F246" i="7" s="1"/>
  <c r="F245" i="7"/>
  <c r="E245" i="7"/>
  <c r="E244" i="7"/>
  <c r="F244" i="7" s="1"/>
  <c r="E243" i="7"/>
  <c r="F243" i="7" s="1"/>
  <c r="E242" i="7"/>
  <c r="F242" i="7" s="1"/>
  <c r="E241" i="7"/>
  <c r="F241" i="7" s="1"/>
  <c r="F240" i="7"/>
  <c r="E240" i="7"/>
  <c r="E239" i="7"/>
  <c r="F239" i="7" s="1"/>
  <c r="F238" i="7"/>
  <c r="E238" i="7"/>
  <c r="E237" i="7"/>
  <c r="F237" i="7" s="1"/>
  <c r="E236" i="7"/>
  <c r="F236" i="7" s="1"/>
  <c r="E235" i="7"/>
  <c r="F235" i="7" s="1"/>
  <c r="E234" i="7"/>
  <c r="F234" i="7" s="1"/>
  <c r="F233" i="7"/>
  <c r="E233" i="7"/>
  <c r="E232" i="7"/>
  <c r="F232" i="7" s="1"/>
  <c r="F231" i="7"/>
  <c r="E231" i="7"/>
  <c r="E230" i="7"/>
  <c r="F230" i="7" s="1"/>
  <c r="E229" i="7"/>
  <c r="F229" i="7" s="1"/>
  <c r="E228" i="7"/>
  <c r="F228" i="7" s="1"/>
  <c r="E227" i="7"/>
  <c r="F227" i="7" s="1"/>
  <c r="F226" i="7"/>
  <c r="E226" i="7"/>
  <c r="E225" i="7"/>
  <c r="F225" i="7" s="1"/>
  <c r="F224" i="7"/>
  <c r="E224" i="7"/>
  <c r="E223" i="7"/>
  <c r="F223" i="7" s="1"/>
  <c r="E222" i="7"/>
  <c r="F222" i="7" s="1"/>
  <c r="E221" i="7"/>
  <c r="F221" i="7" s="1"/>
  <c r="E220" i="7"/>
  <c r="F220" i="7" s="1"/>
  <c r="F219" i="7"/>
  <c r="E219" i="7"/>
  <c r="E218" i="7"/>
  <c r="F218" i="7" s="1"/>
  <c r="F217" i="7"/>
  <c r="E217" i="7"/>
  <c r="E216" i="7"/>
  <c r="F216" i="7" s="1"/>
  <c r="E215" i="7"/>
  <c r="F215" i="7" s="1"/>
  <c r="E214" i="7"/>
  <c r="F214" i="7" s="1"/>
  <c r="E213" i="7"/>
  <c r="F213" i="7" s="1"/>
  <c r="F212" i="7"/>
  <c r="E212" i="7"/>
  <c r="E211" i="7"/>
  <c r="F211" i="7" s="1"/>
  <c r="F210" i="7"/>
  <c r="E210" i="7"/>
  <c r="E209" i="7"/>
  <c r="F209" i="7" s="1"/>
  <c r="E208" i="7"/>
  <c r="F208" i="7" s="1"/>
  <c r="E207" i="7"/>
  <c r="F207" i="7" s="1"/>
  <c r="E206" i="7"/>
  <c r="F206" i="7" s="1"/>
  <c r="F205" i="7"/>
  <c r="E205" i="7"/>
  <c r="E204" i="7"/>
  <c r="F204" i="7" s="1"/>
  <c r="F203" i="7"/>
  <c r="E203" i="7"/>
  <c r="E202" i="7"/>
  <c r="F202" i="7" s="1"/>
  <c r="E201" i="7"/>
  <c r="F201" i="7" s="1"/>
  <c r="E200" i="7"/>
  <c r="F200" i="7" s="1"/>
  <c r="E199" i="7"/>
  <c r="F199" i="7" s="1"/>
  <c r="F198" i="7"/>
  <c r="E198" i="7"/>
  <c r="E197" i="7"/>
  <c r="F197" i="7" s="1"/>
  <c r="F196" i="7"/>
  <c r="E196" i="7"/>
  <c r="E195" i="7"/>
  <c r="F195" i="7" s="1"/>
  <c r="E194" i="7"/>
  <c r="F194" i="7" s="1"/>
  <c r="E193" i="7"/>
  <c r="F193" i="7" s="1"/>
  <c r="E192" i="7"/>
  <c r="F192" i="7" s="1"/>
  <c r="F191" i="7"/>
  <c r="E191" i="7"/>
  <c r="E190" i="7"/>
  <c r="F190" i="7" s="1"/>
  <c r="F189" i="7"/>
  <c r="E189" i="7"/>
  <c r="E188" i="7"/>
  <c r="F188" i="7" s="1"/>
  <c r="E187" i="7"/>
  <c r="F187" i="7" s="1"/>
  <c r="E186" i="7"/>
  <c r="F186" i="7" s="1"/>
  <c r="E185" i="7"/>
  <c r="F185" i="7" s="1"/>
  <c r="F184" i="7"/>
  <c r="E184" i="7"/>
  <c r="E183" i="7"/>
  <c r="F183" i="7" s="1"/>
  <c r="F182" i="7"/>
  <c r="E182" i="7"/>
  <c r="E181" i="7"/>
  <c r="F181" i="7" s="1"/>
  <c r="E180" i="7"/>
  <c r="F180" i="7" s="1"/>
  <c r="E179" i="7"/>
  <c r="F179" i="7" s="1"/>
  <c r="E178" i="7"/>
  <c r="F178" i="7" s="1"/>
  <c r="F177" i="7"/>
  <c r="E177" i="7"/>
  <c r="E176" i="7"/>
  <c r="F176" i="7" s="1"/>
  <c r="F175" i="7"/>
  <c r="E175" i="7"/>
  <c r="E174" i="7"/>
  <c r="F174" i="7" s="1"/>
  <c r="E173" i="7"/>
  <c r="F173" i="7" s="1"/>
  <c r="E172" i="7"/>
  <c r="F172" i="7" s="1"/>
  <c r="E171" i="7"/>
  <c r="F171" i="7" s="1"/>
  <c r="F170" i="7"/>
  <c r="E170" i="7"/>
  <c r="E169" i="7"/>
  <c r="F169" i="7" s="1"/>
  <c r="F168" i="7"/>
  <c r="E168" i="7"/>
  <c r="E167" i="7"/>
  <c r="F167" i="7" s="1"/>
  <c r="E166" i="7"/>
  <c r="F166" i="7" s="1"/>
  <c r="E165" i="7"/>
  <c r="F165" i="7" s="1"/>
  <c r="E164" i="7"/>
  <c r="F164" i="7" s="1"/>
  <c r="F163" i="7"/>
  <c r="E163" i="7"/>
  <c r="E162" i="7"/>
  <c r="F162" i="7" s="1"/>
  <c r="F161" i="7"/>
  <c r="E161" i="7"/>
  <c r="E160" i="7"/>
  <c r="F160" i="7" s="1"/>
  <c r="E159" i="7"/>
  <c r="F159" i="7" s="1"/>
  <c r="E158" i="7"/>
  <c r="F158" i="7" s="1"/>
  <c r="E157" i="7"/>
  <c r="F157" i="7" s="1"/>
  <c r="F156" i="7"/>
  <c r="E156" i="7"/>
  <c r="E155" i="7"/>
  <c r="F155" i="7" s="1"/>
  <c r="F154" i="7"/>
  <c r="E154" i="7"/>
  <c r="E153" i="7"/>
  <c r="F153" i="7" s="1"/>
  <c r="E152" i="7"/>
  <c r="F152" i="7" s="1"/>
  <c r="E151" i="7"/>
  <c r="F151" i="7" s="1"/>
  <c r="E150" i="7"/>
  <c r="F150" i="7" s="1"/>
  <c r="F149" i="7"/>
  <c r="E149" i="7"/>
  <c r="E148" i="7"/>
  <c r="F148" i="7" s="1"/>
  <c r="F147" i="7"/>
  <c r="E147" i="7"/>
  <c r="E146" i="7"/>
  <c r="F146" i="7" s="1"/>
  <c r="E145" i="7"/>
  <c r="F145" i="7" s="1"/>
  <c r="E144" i="7"/>
  <c r="F144" i="7" s="1"/>
  <c r="E143" i="7"/>
  <c r="F143" i="7" s="1"/>
  <c r="F142" i="7"/>
  <c r="E142" i="7"/>
  <c r="E141" i="7"/>
  <c r="F141" i="7" s="1"/>
  <c r="F140" i="7"/>
  <c r="E140" i="7"/>
  <c r="E139" i="7"/>
  <c r="F139" i="7" s="1"/>
  <c r="E138" i="7"/>
  <c r="F138" i="7" s="1"/>
  <c r="E137" i="7"/>
  <c r="F137" i="7" s="1"/>
  <c r="E136" i="7"/>
  <c r="F136" i="7" s="1"/>
  <c r="F135" i="7"/>
  <c r="E135" i="7"/>
  <c r="E134" i="7"/>
  <c r="F134" i="7" s="1"/>
  <c r="F133" i="7"/>
  <c r="E133" i="7"/>
  <c r="E132" i="7"/>
  <c r="F132" i="7" s="1"/>
  <c r="E131" i="7"/>
  <c r="F131" i="7" s="1"/>
  <c r="E130" i="7"/>
  <c r="F130" i="7" s="1"/>
  <c r="E129" i="7"/>
  <c r="F129" i="7" s="1"/>
  <c r="F128" i="7"/>
  <c r="E128" i="7"/>
  <c r="E127" i="7"/>
  <c r="F127" i="7" s="1"/>
  <c r="F126" i="7"/>
  <c r="E126" i="7"/>
  <c r="E125" i="7"/>
  <c r="F125" i="7" s="1"/>
  <c r="E124" i="7"/>
  <c r="F124" i="7" s="1"/>
  <c r="E123" i="7"/>
  <c r="F123" i="7" s="1"/>
  <c r="E122" i="7"/>
  <c r="F122" i="7" s="1"/>
  <c r="F121" i="7"/>
  <c r="E121" i="7"/>
  <c r="E120" i="7"/>
  <c r="F120" i="7" s="1"/>
  <c r="F119" i="7"/>
  <c r="E119" i="7"/>
  <c r="E118" i="7"/>
  <c r="F118" i="7" s="1"/>
  <c r="E117" i="7"/>
  <c r="F117" i="7" s="1"/>
  <c r="E116" i="7"/>
  <c r="F116" i="7" s="1"/>
  <c r="E115" i="7"/>
  <c r="F115" i="7" s="1"/>
  <c r="F114" i="7"/>
  <c r="E114" i="7"/>
  <c r="E113" i="7"/>
  <c r="F113" i="7" s="1"/>
  <c r="F112" i="7"/>
  <c r="E112" i="7"/>
  <c r="E111" i="7"/>
  <c r="F111" i="7" s="1"/>
  <c r="E110" i="7"/>
  <c r="F110" i="7" s="1"/>
  <c r="E109" i="7"/>
  <c r="F109" i="7" s="1"/>
  <c r="E108" i="7"/>
  <c r="F108" i="7" s="1"/>
  <c r="F107" i="7"/>
  <c r="E107" i="7"/>
  <c r="E106" i="7"/>
  <c r="F106" i="7" s="1"/>
  <c r="F105" i="7"/>
  <c r="E105" i="7"/>
  <c r="E104" i="7"/>
  <c r="F104" i="7" s="1"/>
  <c r="E103" i="7"/>
  <c r="F103" i="7" s="1"/>
  <c r="E102" i="7"/>
  <c r="F102" i="7" s="1"/>
  <c r="E101" i="7"/>
  <c r="F101" i="7" s="1"/>
  <c r="F100" i="7"/>
  <c r="E100" i="7"/>
  <c r="E99" i="7"/>
  <c r="F99" i="7" s="1"/>
  <c r="F98" i="7"/>
  <c r="E98" i="7"/>
  <c r="E97" i="7"/>
  <c r="F97" i="7" s="1"/>
  <c r="E96" i="7"/>
  <c r="F96" i="7" s="1"/>
  <c r="E95" i="7"/>
  <c r="F95" i="7" s="1"/>
  <c r="E94" i="7"/>
  <c r="F94" i="7" s="1"/>
  <c r="F93" i="7"/>
  <c r="E93" i="7"/>
  <c r="E92" i="7"/>
  <c r="F92" i="7" s="1"/>
  <c r="F91" i="7"/>
  <c r="E91" i="7"/>
  <c r="E90" i="7"/>
  <c r="F90" i="7" s="1"/>
  <c r="E89" i="7"/>
  <c r="F89" i="7" s="1"/>
  <c r="E88" i="7"/>
  <c r="F88" i="7" s="1"/>
  <c r="E87" i="7"/>
  <c r="F87" i="7" s="1"/>
  <c r="F86" i="7"/>
  <c r="E86" i="7"/>
  <c r="E85" i="7"/>
  <c r="F85" i="7" s="1"/>
  <c r="F84" i="7"/>
  <c r="E84" i="7"/>
  <c r="E83" i="7"/>
  <c r="F83" i="7" s="1"/>
  <c r="E82" i="7"/>
  <c r="F82" i="7" s="1"/>
  <c r="E81" i="7"/>
  <c r="F81" i="7" s="1"/>
  <c r="E80" i="7"/>
  <c r="F80" i="7" s="1"/>
  <c r="F79" i="7"/>
  <c r="E79" i="7"/>
  <c r="E78" i="7"/>
  <c r="F78" i="7" s="1"/>
  <c r="F77" i="7"/>
  <c r="E77" i="7"/>
  <c r="E76" i="7"/>
  <c r="F76" i="7" s="1"/>
  <c r="E75" i="7"/>
  <c r="F75" i="7" s="1"/>
  <c r="E74" i="7"/>
  <c r="F74" i="7" s="1"/>
  <c r="E73" i="7"/>
  <c r="F73" i="7" s="1"/>
  <c r="F72" i="7"/>
  <c r="E72" i="7"/>
  <c r="E71" i="7"/>
  <c r="F71" i="7" s="1"/>
  <c r="F70" i="7"/>
  <c r="E70" i="7"/>
  <c r="E69" i="7"/>
  <c r="F69" i="7" s="1"/>
  <c r="E68" i="7"/>
  <c r="F68" i="7" s="1"/>
  <c r="E67" i="7"/>
  <c r="F67" i="7" s="1"/>
  <c r="E66" i="7"/>
  <c r="F66" i="7" s="1"/>
  <c r="F65" i="7"/>
  <c r="E65" i="7"/>
  <c r="E64" i="7"/>
  <c r="F64" i="7" s="1"/>
  <c r="F63" i="7"/>
  <c r="E63" i="7"/>
  <c r="E62" i="7"/>
  <c r="F62" i="7" s="1"/>
  <c r="E61" i="7"/>
  <c r="F61" i="7" s="1"/>
  <c r="E60" i="7"/>
  <c r="F60" i="7" s="1"/>
  <c r="E59" i="7"/>
  <c r="F59" i="7" s="1"/>
  <c r="F58" i="7"/>
  <c r="E58" i="7"/>
  <c r="E57" i="7"/>
  <c r="F57" i="7" s="1"/>
  <c r="F56" i="7"/>
  <c r="E56" i="7"/>
  <c r="E55" i="7"/>
  <c r="F55" i="7" s="1"/>
  <c r="E54" i="7"/>
  <c r="F54" i="7" s="1"/>
  <c r="E53" i="7"/>
  <c r="F53" i="7" s="1"/>
  <c r="E52" i="7"/>
  <c r="F52" i="7" s="1"/>
  <c r="F51" i="7"/>
  <c r="E51" i="7"/>
  <c r="E50" i="7"/>
  <c r="F50" i="7" s="1"/>
  <c r="F49" i="7"/>
  <c r="E49" i="7"/>
  <c r="E48" i="7"/>
  <c r="F48" i="7" s="1"/>
  <c r="E47" i="7"/>
  <c r="F47" i="7" s="1"/>
  <c r="E46" i="7"/>
  <c r="F46" i="7" s="1"/>
  <c r="E45" i="7"/>
  <c r="F45" i="7" s="1"/>
  <c r="F44" i="7"/>
  <c r="E44" i="7"/>
  <c r="E43" i="7"/>
  <c r="F43" i="7" s="1"/>
  <c r="F42" i="7"/>
  <c r="E42" i="7"/>
  <c r="E41" i="7"/>
  <c r="F41" i="7" s="1"/>
  <c r="E40" i="7"/>
  <c r="F40" i="7" s="1"/>
  <c r="E39" i="7"/>
  <c r="F39" i="7" s="1"/>
  <c r="E38" i="7"/>
  <c r="F38" i="7" s="1"/>
  <c r="F37" i="7"/>
  <c r="E37" i="7"/>
  <c r="E36" i="7"/>
  <c r="F36" i="7" s="1"/>
  <c r="F35" i="7"/>
  <c r="E35" i="7"/>
  <c r="E34" i="7"/>
  <c r="F34" i="7" s="1"/>
  <c r="E33" i="7"/>
  <c r="F33" i="7" s="1"/>
  <c r="E32" i="7"/>
  <c r="F32" i="7" s="1"/>
  <c r="E31" i="7"/>
  <c r="F31" i="7" s="1"/>
  <c r="F30" i="7"/>
  <c r="E30" i="7"/>
  <c r="E29" i="7"/>
  <c r="F29" i="7" s="1"/>
  <c r="F28" i="7"/>
  <c r="E28" i="7"/>
  <c r="E27" i="7"/>
  <c r="F27" i="7" s="1"/>
  <c r="E26" i="7"/>
  <c r="F26" i="7" s="1"/>
  <c r="E25" i="7"/>
  <c r="F25" i="7" s="1"/>
  <c r="E24" i="7"/>
  <c r="F24" i="7" s="1"/>
  <c r="F23" i="7"/>
  <c r="E23" i="7"/>
  <c r="E22" i="7"/>
  <c r="F22" i="7" s="1"/>
  <c r="F21" i="7"/>
  <c r="E21" i="7"/>
  <c r="E20" i="7"/>
  <c r="F20" i="7" s="1"/>
  <c r="E19" i="7"/>
  <c r="F19" i="7" s="1"/>
  <c r="E18" i="7"/>
  <c r="F18" i="7" s="1"/>
  <c r="E17" i="7"/>
  <c r="F17" i="7" s="1"/>
  <c r="F16" i="7"/>
  <c r="E16" i="7"/>
  <c r="E15" i="7"/>
  <c r="F15" i="7" s="1"/>
  <c r="F14" i="7"/>
  <c r="E14" i="7"/>
  <c r="E13" i="7"/>
  <c r="F13" i="7" s="1"/>
  <c r="E12" i="7"/>
  <c r="F12" i="7" s="1"/>
  <c r="E11" i="7"/>
  <c r="F11" i="7" s="1"/>
  <c r="E10" i="7"/>
  <c r="F10" i="7" s="1"/>
  <c r="F9" i="7"/>
  <c r="E9" i="7"/>
  <c r="E8" i="7"/>
  <c r="F8" i="7" s="1"/>
  <c r="F7" i="7"/>
  <c r="E7" i="7"/>
  <c r="E6" i="7"/>
  <c r="F6" i="7" s="1"/>
  <c r="E5" i="7"/>
  <c r="F5" i="7" s="1"/>
  <c r="E4" i="7"/>
  <c r="F4" i="7" s="1"/>
  <c r="E3" i="7"/>
  <c r="F3" i="7" s="1"/>
  <c r="F2" i="7"/>
  <c r="E2" i="7"/>
  <c r="E1120" i="6"/>
  <c r="E1119" i="6"/>
  <c r="E1118" i="6"/>
  <c r="E1117" i="6"/>
  <c r="E1116" i="6"/>
  <c r="E1115" i="6"/>
  <c r="E1114" i="6"/>
  <c r="E1113" i="6"/>
  <c r="E1112" i="6"/>
  <c r="E1111" i="6"/>
  <c r="E1110" i="6"/>
  <c r="E1109" i="6"/>
  <c r="E1108" i="6"/>
  <c r="E1107" i="6"/>
  <c r="E1106" i="6"/>
  <c r="E1105" i="6"/>
  <c r="E1104" i="6"/>
  <c r="E1103" i="6"/>
  <c r="E1102" i="6"/>
  <c r="E1101" i="6"/>
  <c r="E1100" i="6"/>
  <c r="E1099" i="6"/>
  <c r="E1098" i="6"/>
  <c r="E1097" i="6"/>
  <c r="E1096" i="6"/>
  <c r="E1095" i="6"/>
  <c r="E1094" i="6"/>
  <c r="E1093" i="6"/>
  <c r="E1092" i="6"/>
  <c r="E1091" i="6"/>
  <c r="E1090" i="6"/>
  <c r="E1089" i="6"/>
  <c r="E1088" i="6"/>
  <c r="E1087" i="6"/>
  <c r="E1086" i="6"/>
  <c r="E1085" i="6"/>
  <c r="E1084" i="6"/>
  <c r="E1083" i="6"/>
  <c r="E1082" i="6"/>
  <c r="E1081" i="6"/>
  <c r="E1080" i="6"/>
  <c r="E1079" i="6"/>
  <c r="E1078" i="6"/>
  <c r="E1077" i="6"/>
  <c r="E1076" i="6"/>
  <c r="E1075" i="6"/>
  <c r="E1074" i="6"/>
  <c r="E1073" i="6"/>
  <c r="E1072" i="6"/>
  <c r="E1071" i="6"/>
  <c r="E1070" i="6"/>
  <c r="E1069" i="6"/>
  <c r="E1068" i="6"/>
  <c r="E1067" i="6"/>
  <c r="E1066" i="6"/>
  <c r="E1065" i="6"/>
  <c r="E1064" i="6"/>
  <c r="E1063" i="6"/>
  <c r="E1062" i="6"/>
  <c r="E1061" i="6"/>
  <c r="E1060" i="6"/>
  <c r="E1059" i="6"/>
  <c r="E1058" i="6"/>
  <c r="E1057" i="6"/>
  <c r="D1057" i="6"/>
  <c r="C1057" i="6"/>
  <c r="E1056" i="6"/>
  <c r="E1055" i="6"/>
  <c r="E1054" i="6"/>
  <c r="E1053" i="6"/>
  <c r="E1052" i="6"/>
  <c r="E1051" i="6"/>
  <c r="E1050" i="6"/>
  <c r="E1049" i="6"/>
  <c r="E1048" i="6"/>
  <c r="E1047" i="6"/>
  <c r="E1046" i="6"/>
  <c r="E1045" i="6"/>
  <c r="E1044" i="6"/>
  <c r="E1043" i="6"/>
  <c r="E1042" i="6"/>
  <c r="E1041" i="6"/>
  <c r="E1040" i="6"/>
  <c r="E1039" i="6"/>
  <c r="E1038" i="6"/>
  <c r="E1037" i="6"/>
  <c r="E1036" i="6"/>
  <c r="E1035" i="6"/>
  <c r="E1034" i="6"/>
  <c r="E1033" i="6"/>
  <c r="E1032" i="6"/>
  <c r="E1031" i="6"/>
  <c r="E1030" i="6"/>
  <c r="E1029" i="6"/>
  <c r="E1028" i="6"/>
  <c r="E1027" i="6"/>
  <c r="E1026" i="6"/>
  <c r="E1025" i="6"/>
  <c r="E1024" i="6"/>
  <c r="E1023" i="6"/>
  <c r="E1022" i="6"/>
  <c r="E1021" i="6"/>
  <c r="E1020" i="6"/>
  <c r="E1019" i="6"/>
  <c r="E1018" i="6"/>
  <c r="E1017" i="6"/>
  <c r="E1016" i="6"/>
  <c r="E1015" i="6"/>
  <c r="E1014" i="6"/>
  <c r="E1013" i="6"/>
  <c r="E1012" i="6"/>
  <c r="E1011" i="6"/>
  <c r="E1010" i="6"/>
  <c r="E1009" i="6"/>
  <c r="E1008" i="6"/>
  <c r="E1007" i="6"/>
  <c r="E1006" i="6"/>
  <c r="E1005" i="6"/>
  <c r="E1004" i="6"/>
  <c r="E1003" i="6"/>
  <c r="E1002" i="6"/>
  <c r="E1001" i="6"/>
  <c r="E1000" i="6"/>
  <c r="E999" i="6"/>
  <c r="E998" i="6"/>
  <c r="E997" i="6"/>
  <c r="E996" i="6"/>
  <c r="E995" i="6"/>
  <c r="E994" i="6"/>
  <c r="E993" i="6"/>
  <c r="E992" i="6"/>
  <c r="E991" i="6"/>
  <c r="E990" i="6"/>
  <c r="E989" i="6"/>
  <c r="E988" i="6"/>
  <c r="E987" i="6"/>
  <c r="E986" i="6"/>
  <c r="E985" i="6"/>
  <c r="E984" i="6"/>
  <c r="E983" i="6"/>
  <c r="E982" i="6"/>
  <c r="E981" i="6"/>
  <c r="E980" i="6"/>
  <c r="E979" i="6"/>
  <c r="E978" i="6"/>
  <c r="E977" i="6"/>
  <c r="E976" i="6"/>
  <c r="E975" i="6"/>
  <c r="E974" i="6"/>
  <c r="E973" i="6"/>
  <c r="E972" i="6"/>
  <c r="E971" i="6"/>
  <c r="E970" i="6"/>
  <c r="E969" i="6"/>
  <c r="E968" i="6"/>
  <c r="E967" i="6"/>
  <c r="E966" i="6"/>
  <c r="E965" i="6"/>
  <c r="E964" i="6"/>
  <c r="E963" i="6"/>
  <c r="E962" i="6"/>
  <c r="E961" i="6"/>
  <c r="E960" i="6"/>
  <c r="E959" i="6"/>
  <c r="E958" i="6"/>
  <c r="E957" i="6"/>
  <c r="E956" i="6"/>
  <c r="E955" i="6"/>
  <c r="E954" i="6"/>
  <c r="E953" i="6"/>
  <c r="E952" i="6"/>
  <c r="E951" i="6"/>
  <c r="E950" i="6"/>
  <c r="E949" i="6"/>
  <c r="E948" i="6"/>
  <c r="E947" i="6"/>
  <c r="E946" i="6"/>
  <c r="E945" i="6"/>
  <c r="E944" i="6"/>
  <c r="E943" i="6"/>
  <c r="E942" i="6"/>
  <c r="E941" i="6"/>
  <c r="E940" i="6"/>
  <c r="E939" i="6"/>
  <c r="E938" i="6"/>
  <c r="E937" i="6"/>
  <c r="E936" i="6"/>
  <c r="E935" i="6"/>
  <c r="E934" i="6"/>
  <c r="E933" i="6"/>
  <c r="E932" i="6"/>
  <c r="E931" i="6"/>
  <c r="E930" i="6"/>
  <c r="E929" i="6"/>
  <c r="E928" i="6"/>
  <c r="E927" i="6"/>
  <c r="E925" i="6" s="1"/>
  <c r="E926" i="6"/>
  <c r="D925" i="6"/>
  <c r="C925" i="6"/>
  <c r="E924" i="6"/>
  <c r="E923" i="6"/>
  <c r="E922" i="6"/>
  <c r="E921" i="6"/>
  <c r="E920" i="6"/>
  <c r="E919" i="6"/>
  <c r="E918" i="6"/>
  <c r="E917" i="6"/>
  <c r="E916" i="6"/>
  <c r="E915" i="6"/>
  <c r="E914" i="6"/>
  <c r="E913" i="6"/>
  <c r="E912" i="6"/>
  <c r="E911" i="6"/>
  <c r="E910" i="6"/>
  <c r="E909" i="6"/>
  <c r="E908" i="6"/>
  <c r="E907" i="6"/>
  <c r="E906" i="6"/>
  <c r="E905" i="6"/>
  <c r="E904" i="6"/>
  <c r="E903" i="6"/>
  <c r="E902" i="6"/>
  <c r="E901" i="6"/>
  <c r="E900" i="6"/>
  <c r="E899" i="6"/>
  <c r="E898" i="6"/>
  <c r="E897" i="6"/>
  <c r="E896" i="6"/>
  <c r="E895" i="6"/>
  <c r="E894" i="6"/>
  <c r="E893" i="6"/>
  <c r="E892" i="6"/>
  <c r="E891" i="6"/>
  <c r="E890" i="6"/>
  <c r="E889" i="6"/>
  <c r="E888" i="6"/>
  <c r="E887" i="6"/>
  <c r="E886" i="6"/>
  <c r="E885" i="6"/>
  <c r="E884" i="6"/>
  <c r="E883" i="6"/>
  <c r="E882" i="6"/>
  <c r="E881" i="6"/>
  <c r="E880" i="6"/>
  <c r="E879" i="6"/>
  <c r="E878" i="6"/>
  <c r="E877" i="6"/>
  <c r="E876" i="6"/>
  <c r="E875" i="6"/>
  <c r="E874" i="6"/>
  <c r="E873" i="6"/>
  <c r="E872" i="6"/>
  <c r="E871" i="6"/>
  <c r="E870" i="6"/>
  <c r="E869" i="6"/>
  <c r="E868" i="6"/>
  <c r="E867" i="6"/>
  <c r="E866" i="6"/>
  <c r="E865" i="6"/>
  <c r="E864" i="6"/>
  <c r="E863" i="6"/>
  <c r="E862" i="6"/>
  <c r="E861" i="6"/>
  <c r="E860" i="6"/>
  <c r="E859" i="6"/>
  <c r="E858" i="6"/>
  <c r="E857" i="6"/>
  <c r="E856" i="6"/>
  <c r="E855" i="6"/>
  <c r="E854" i="6"/>
  <c r="E853" i="6"/>
  <c r="E852" i="6"/>
  <c r="E851" i="6"/>
  <c r="E850" i="6"/>
  <c r="E849" i="6"/>
  <c r="E848" i="6"/>
  <c r="E847" i="6"/>
  <c r="E846" i="6"/>
  <c r="E845" i="6"/>
  <c r="E844" i="6"/>
  <c r="E843" i="6"/>
  <c r="E842" i="6"/>
  <c r="E841" i="6"/>
  <c r="E840" i="6"/>
  <c r="E839" i="6"/>
  <c r="E838" i="6"/>
  <c r="E837" i="6"/>
  <c r="E836" i="6"/>
  <c r="E835" i="6"/>
  <c r="E834" i="6"/>
  <c r="E833" i="6"/>
  <c r="E832" i="6"/>
  <c r="E831" i="6"/>
  <c r="E830" i="6"/>
  <c r="E829" i="6"/>
  <c r="E828" i="6"/>
  <c r="E827" i="6"/>
  <c r="E826" i="6"/>
  <c r="E825" i="6"/>
  <c r="E824" i="6"/>
  <c r="E823" i="6"/>
  <c r="E822" i="6"/>
  <c r="E821" i="6"/>
  <c r="E820" i="6"/>
  <c r="E819" i="6"/>
  <c r="E818" i="6"/>
  <c r="E817" i="6"/>
  <c r="E816" i="6"/>
  <c r="E815" i="6"/>
  <c r="E814" i="6"/>
  <c r="E813" i="6"/>
  <c r="E812" i="6"/>
  <c r="E811" i="6"/>
  <c r="E810" i="6"/>
  <c r="E809" i="6"/>
  <c r="E808" i="6"/>
  <c r="E807" i="6"/>
  <c r="E806" i="6"/>
  <c r="E805" i="6"/>
  <c r="E804" i="6"/>
  <c r="E803" i="6" s="1"/>
  <c r="D803" i="6"/>
  <c r="C803" i="6"/>
  <c r="E802" i="6"/>
  <c r="E801" i="6"/>
  <c r="E800" i="6"/>
  <c r="E799" i="6"/>
  <c r="E798" i="6"/>
  <c r="E797" i="6"/>
  <c r="E796" i="6"/>
  <c r="E795" i="6"/>
  <c r="E794" i="6"/>
  <c r="E793" i="6"/>
  <c r="E792" i="6"/>
  <c r="E791" i="6"/>
  <c r="E790" i="6"/>
  <c r="E789" i="6"/>
  <c r="E788" i="6"/>
  <c r="E787" i="6"/>
  <c r="E786" i="6"/>
  <c r="E785" i="6"/>
  <c r="E784" i="6"/>
  <c r="E783" i="6"/>
  <c r="E782" i="6"/>
  <c r="E781" i="6"/>
  <c r="E780" i="6"/>
  <c r="E779" i="6"/>
  <c r="E778" i="6"/>
  <c r="E777" i="6"/>
  <c r="E776" i="6"/>
  <c r="E775" i="6"/>
  <c r="E774" i="6"/>
  <c r="E773" i="6"/>
  <c r="E772" i="6"/>
  <c r="E771" i="6"/>
  <c r="E770" i="6"/>
  <c r="E769" i="6"/>
  <c r="E768" i="6"/>
  <c r="E767" i="6"/>
  <c r="E766" i="6"/>
  <c r="E765" i="6"/>
  <c r="E764" i="6"/>
  <c r="E763" i="6"/>
  <c r="E762" i="6"/>
  <c r="E761" i="6"/>
  <c r="E760" i="6"/>
  <c r="E759" i="6"/>
  <c r="E758" i="6"/>
  <c r="E757" i="6"/>
  <c r="E756" i="6"/>
  <c r="E755" i="6"/>
  <c r="E754" i="6"/>
  <c r="E753" i="6"/>
  <c r="E752" i="6"/>
  <c r="E751" i="6"/>
  <c r="E750" i="6"/>
  <c r="E749" i="6"/>
  <c r="E748" i="6"/>
  <c r="E747" i="6"/>
  <c r="E746" i="6"/>
  <c r="E745" i="6"/>
  <c r="E744" i="6"/>
  <c r="E743" i="6"/>
  <c r="E742" i="6"/>
  <c r="E741" i="6"/>
  <c r="E740" i="6"/>
  <c r="E739" i="6"/>
  <c r="E738" i="6"/>
  <c r="E737" i="6"/>
  <c r="E736" i="6"/>
  <c r="E735" i="6"/>
  <c r="E734" i="6"/>
  <c r="E733" i="6"/>
  <c r="E732" i="6"/>
  <c r="E731" i="6"/>
  <c r="E730" i="6"/>
  <c r="E729" i="6"/>
  <c r="E728" i="6"/>
  <c r="E727" i="6"/>
  <c r="E726" i="6"/>
  <c r="E725" i="6"/>
  <c r="E724" i="6"/>
  <c r="E723" i="6"/>
  <c r="E722" i="6"/>
  <c r="E721" i="6"/>
  <c r="E720" i="6"/>
  <c r="E719" i="6"/>
  <c r="E718" i="6"/>
  <c r="E717" i="6"/>
  <c r="E716" i="6"/>
  <c r="E715" i="6"/>
  <c r="E714" i="6"/>
  <c r="E713" i="6"/>
  <c r="E712" i="6"/>
  <c r="E711" i="6"/>
  <c r="E710" i="6"/>
  <c r="E709" i="6"/>
  <c r="E708" i="6"/>
  <c r="E707" i="6"/>
  <c r="E706" i="6"/>
  <c r="E705" i="6"/>
  <c r="E704" i="6"/>
  <c r="E703" i="6"/>
  <c r="E702" i="6"/>
  <c r="E701" i="6"/>
  <c r="E700" i="6"/>
  <c r="E699" i="6"/>
  <c r="E698" i="6"/>
  <c r="E697" i="6"/>
  <c r="E696" i="6"/>
  <c r="E695" i="6"/>
  <c r="E694" i="6"/>
  <c r="E693" i="6"/>
  <c r="E692" i="6"/>
  <c r="E691" i="6"/>
  <c r="E690" i="6"/>
  <c r="E689" i="6"/>
  <c r="E688" i="6"/>
  <c r="E687" i="6"/>
  <c r="E686" i="6"/>
  <c r="E685" i="6"/>
  <c r="E684" i="6"/>
  <c r="E683" i="6"/>
  <c r="E682" i="6"/>
  <c r="E681" i="6"/>
  <c r="E680" i="6"/>
  <c r="E679" i="6"/>
  <c r="E678" i="6"/>
  <c r="E677" i="6"/>
  <c r="E676" i="6" s="1"/>
  <c r="D676" i="6"/>
  <c r="C676" i="6"/>
  <c r="E675" i="6"/>
  <c r="E674" i="6"/>
  <c r="E673" i="6"/>
  <c r="E672" i="6"/>
  <c r="E671" i="6"/>
  <c r="E670" i="6"/>
  <c r="E669" i="6"/>
  <c r="E668" i="6"/>
  <c r="E667" i="6"/>
  <c r="E666" i="6"/>
  <c r="E665" i="6"/>
  <c r="E664" i="6"/>
  <c r="E663" i="6"/>
  <c r="E662" i="6"/>
  <c r="E661" i="6"/>
  <c r="E660" i="6"/>
  <c r="E659" i="6"/>
  <c r="E658" i="6"/>
  <c r="E657" i="6"/>
  <c r="E656" i="6"/>
  <c r="E655" i="6"/>
  <c r="E654" i="6"/>
  <c r="E653" i="6"/>
  <c r="E652" i="6"/>
  <c r="E651" i="6"/>
  <c r="E650" i="6"/>
  <c r="E649" i="6"/>
  <c r="E648" i="6"/>
  <c r="E647" i="6"/>
  <c r="E646" i="6"/>
  <c r="E645" i="6"/>
  <c r="E644" i="6"/>
  <c r="E643" i="6"/>
  <c r="E642" i="6"/>
  <c r="E641" i="6"/>
  <c r="E640" i="6"/>
  <c r="E639" i="6"/>
  <c r="E638" i="6"/>
  <c r="E637" i="6"/>
  <c r="E636" i="6"/>
  <c r="E635" i="6"/>
  <c r="E634" i="6"/>
  <c r="E633" i="6"/>
  <c r="E632" i="6"/>
  <c r="E631" i="6"/>
  <c r="E630" i="6"/>
  <c r="E629" i="6"/>
  <c r="E628" i="6"/>
  <c r="E627" i="6"/>
  <c r="E626" i="6"/>
  <c r="E625" i="6"/>
  <c r="E624" i="6"/>
  <c r="E623" i="6"/>
  <c r="E622" i="6"/>
  <c r="E621" i="6"/>
  <c r="E620" i="6"/>
  <c r="E619" i="6"/>
  <c r="E618" i="6"/>
  <c r="E617" i="6"/>
  <c r="E616" i="6"/>
  <c r="E615" i="6"/>
  <c r="E614" i="6"/>
  <c r="E613" i="6"/>
  <c r="E612" i="6"/>
  <c r="E611" i="6"/>
  <c r="E610" i="6"/>
  <c r="E609" i="6"/>
  <c r="E608" i="6"/>
  <c r="E607" i="6"/>
  <c r="E606" i="6"/>
  <c r="E605" i="6"/>
  <c r="E604" i="6"/>
  <c r="E603" i="6"/>
  <c r="E602" i="6"/>
  <c r="E601" i="6"/>
  <c r="E600" i="6"/>
  <c r="E599" i="6"/>
  <c r="E598" i="6"/>
  <c r="E597" i="6"/>
  <c r="E596" i="6"/>
  <c r="E595" i="6"/>
  <c r="E594" i="6"/>
  <c r="E593" i="6"/>
  <c r="E592" i="6"/>
  <c r="E591" i="6"/>
  <c r="E590" i="6"/>
  <c r="E589" i="6"/>
  <c r="E588" i="6"/>
  <c r="E587" i="6"/>
  <c r="E586" i="6"/>
  <c r="E585" i="6"/>
  <c r="E584" i="6"/>
  <c r="E583" i="6"/>
  <c r="E582" i="6"/>
  <c r="E581" i="6"/>
  <c r="E580" i="6"/>
  <c r="E579" i="6"/>
  <c r="E578" i="6"/>
  <c r="E577" i="6"/>
  <c r="E576" i="6"/>
  <c r="E575" i="6"/>
  <c r="E574" i="6"/>
  <c r="E573" i="6"/>
  <c r="E572" i="6"/>
  <c r="E571" i="6"/>
  <c r="E570" i="6"/>
  <c r="E569" i="6"/>
  <c r="E568" i="6"/>
  <c r="E567" i="6"/>
  <c r="E566" i="6"/>
  <c r="E565" i="6"/>
  <c r="E564" i="6"/>
  <c r="E563" i="6"/>
  <c r="E562" i="6"/>
  <c r="E561" i="6"/>
  <c r="E560" i="6"/>
  <c r="E559" i="6"/>
  <c r="E558" i="6"/>
  <c r="E557" i="6"/>
  <c r="E556" i="6"/>
  <c r="E555" i="6"/>
  <c r="E554" i="6"/>
  <c r="E553" i="6"/>
  <c r="E552" i="6"/>
  <c r="E551" i="6"/>
  <c r="E550" i="6"/>
  <c r="E549" i="6"/>
  <c r="E548" i="6"/>
  <c r="E547" i="6"/>
  <c r="E546" i="6" s="1"/>
  <c r="D546" i="6"/>
  <c r="C546" i="6"/>
  <c r="E545" i="6"/>
  <c r="F545" i="6" s="1"/>
  <c r="F544" i="6"/>
  <c r="E544" i="6"/>
  <c r="E543" i="6"/>
  <c r="F543" i="6" s="1"/>
  <c r="E542" i="6"/>
  <c r="F542" i="6" s="1"/>
  <c r="E541" i="6"/>
  <c r="F541" i="6" s="1"/>
  <c r="F540" i="6"/>
  <c r="E540" i="6"/>
  <c r="F539" i="6"/>
  <c r="E539" i="6"/>
  <c r="E538" i="6"/>
  <c r="F538" i="6" s="1"/>
  <c r="F537" i="6"/>
  <c r="E537" i="6"/>
  <c r="E536" i="6"/>
  <c r="F536" i="6" s="1"/>
  <c r="E535" i="6"/>
  <c r="F535" i="6" s="1"/>
  <c r="E534" i="6"/>
  <c r="F534" i="6" s="1"/>
  <c r="F533" i="6"/>
  <c r="E533" i="6"/>
  <c r="F532" i="6"/>
  <c r="E532" i="6"/>
  <c r="E531" i="6"/>
  <c r="F531" i="6" s="1"/>
  <c r="F530" i="6"/>
  <c r="E530" i="6"/>
  <c r="E529" i="6"/>
  <c r="F529" i="6" s="1"/>
  <c r="E528" i="6"/>
  <c r="F528" i="6" s="1"/>
  <c r="E527" i="6"/>
  <c r="F527" i="6" s="1"/>
  <c r="F526" i="6"/>
  <c r="E526" i="6"/>
  <c r="F525" i="6"/>
  <c r="E525" i="6"/>
  <c r="E524" i="6"/>
  <c r="F524" i="6" s="1"/>
  <c r="F523" i="6"/>
  <c r="E523" i="6"/>
  <c r="E522" i="6"/>
  <c r="F522" i="6" s="1"/>
  <c r="E521" i="6"/>
  <c r="F521" i="6" s="1"/>
  <c r="E520" i="6"/>
  <c r="F520" i="6" s="1"/>
  <c r="F519" i="6"/>
  <c r="E519" i="6"/>
  <c r="F518" i="6"/>
  <c r="E518" i="6"/>
  <c r="E517" i="6"/>
  <c r="F517" i="6" s="1"/>
  <c r="F516" i="6"/>
  <c r="E516" i="6"/>
  <c r="E515" i="6"/>
  <c r="F515" i="6" s="1"/>
  <c r="E514" i="6"/>
  <c r="F514" i="6" s="1"/>
  <c r="E513" i="6"/>
  <c r="F513" i="6" s="1"/>
  <c r="F512" i="6"/>
  <c r="E512" i="6"/>
  <c r="F511" i="6"/>
  <c r="E511" i="6"/>
  <c r="E510" i="6"/>
  <c r="F510" i="6" s="1"/>
  <c r="F509" i="6"/>
  <c r="E509" i="6"/>
  <c r="E508" i="6"/>
  <c r="F508" i="6" s="1"/>
  <c r="E507" i="6"/>
  <c r="F507" i="6" s="1"/>
  <c r="E506" i="6"/>
  <c r="F506" i="6" s="1"/>
  <c r="F505" i="6"/>
  <c r="E505" i="6"/>
  <c r="F504" i="6"/>
  <c r="E504" i="6"/>
  <c r="E503" i="6"/>
  <c r="F503" i="6" s="1"/>
  <c r="F502" i="6"/>
  <c r="E502" i="6"/>
  <c r="E501" i="6"/>
  <c r="F501" i="6" s="1"/>
  <c r="E500" i="6"/>
  <c r="F500" i="6" s="1"/>
  <c r="E499" i="6"/>
  <c r="F499" i="6" s="1"/>
  <c r="F498" i="6"/>
  <c r="E498" i="6"/>
  <c r="F497" i="6"/>
  <c r="E497" i="6"/>
  <c r="E496" i="6"/>
  <c r="F496" i="6" s="1"/>
  <c r="F495" i="6"/>
  <c r="E495" i="6"/>
  <c r="E494" i="6"/>
  <c r="F494" i="6" s="1"/>
  <c r="E493" i="6"/>
  <c r="F493" i="6" s="1"/>
  <c r="E492" i="6"/>
  <c r="F492" i="6" s="1"/>
  <c r="F491" i="6"/>
  <c r="E491" i="6"/>
  <c r="F490" i="6"/>
  <c r="E490" i="6"/>
  <c r="E489" i="6"/>
  <c r="F489" i="6" s="1"/>
  <c r="F488" i="6"/>
  <c r="E488" i="6"/>
  <c r="E487" i="6"/>
  <c r="F487" i="6" s="1"/>
  <c r="E486" i="6"/>
  <c r="F486" i="6" s="1"/>
  <c r="E485" i="6"/>
  <c r="F485" i="6" s="1"/>
  <c r="F484" i="6"/>
  <c r="E484" i="6"/>
  <c r="F483" i="6"/>
  <c r="E483" i="6"/>
  <c r="E482" i="6"/>
  <c r="F482" i="6" s="1"/>
  <c r="F481" i="6"/>
  <c r="E481" i="6"/>
  <c r="E480" i="6"/>
  <c r="F480" i="6" s="1"/>
  <c r="E479" i="6"/>
  <c r="F479" i="6" s="1"/>
  <c r="E478" i="6"/>
  <c r="F478" i="6" s="1"/>
  <c r="F477" i="6"/>
  <c r="E477" i="6"/>
  <c r="F476" i="6"/>
  <c r="E476" i="6"/>
  <c r="E475" i="6"/>
  <c r="F475" i="6" s="1"/>
  <c r="F474" i="6"/>
  <c r="E474" i="6"/>
  <c r="E473" i="6"/>
  <c r="F473" i="6" s="1"/>
  <c r="E472" i="6"/>
  <c r="F472" i="6" s="1"/>
  <c r="E471" i="6"/>
  <c r="F471" i="6" s="1"/>
  <c r="F470" i="6"/>
  <c r="E470" i="6"/>
  <c r="F469" i="6"/>
  <c r="E469" i="6"/>
  <c r="E468" i="6"/>
  <c r="F468" i="6" s="1"/>
  <c r="F467" i="6"/>
  <c r="E467" i="6"/>
  <c r="E466" i="6"/>
  <c r="F466" i="6" s="1"/>
  <c r="E465" i="6"/>
  <c r="F465" i="6" s="1"/>
  <c r="E464" i="6"/>
  <c r="F464" i="6" s="1"/>
  <c r="F463" i="6"/>
  <c r="E463" i="6"/>
  <c r="F462" i="6"/>
  <c r="E462" i="6"/>
  <c r="E461" i="6"/>
  <c r="F461" i="6" s="1"/>
  <c r="F460" i="6"/>
  <c r="E460" i="6"/>
  <c r="E459" i="6"/>
  <c r="F459" i="6" s="1"/>
  <c r="E458" i="6"/>
  <c r="F458" i="6" s="1"/>
  <c r="E457" i="6"/>
  <c r="F457" i="6" s="1"/>
  <c r="F456" i="6"/>
  <c r="E456" i="6"/>
  <c r="F455" i="6"/>
  <c r="E455" i="6"/>
  <c r="E454" i="6"/>
  <c r="F454" i="6" s="1"/>
  <c r="F453" i="6"/>
  <c r="E453" i="6"/>
  <c r="E452" i="6"/>
  <c r="F452" i="6" s="1"/>
  <c r="E451" i="6"/>
  <c r="F451" i="6" s="1"/>
  <c r="E450" i="6"/>
  <c r="F450" i="6" s="1"/>
  <c r="F449" i="6"/>
  <c r="E449" i="6"/>
  <c r="F448" i="6"/>
  <c r="E448" i="6"/>
  <c r="E447" i="6"/>
  <c r="F447" i="6" s="1"/>
  <c r="F446" i="6"/>
  <c r="E446" i="6"/>
  <c r="E445" i="6"/>
  <c r="F445" i="6" s="1"/>
  <c r="E444" i="6"/>
  <c r="F444" i="6" s="1"/>
  <c r="E443" i="6"/>
  <c r="F443" i="6" s="1"/>
  <c r="F442" i="6"/>
  <c r="E442" i="6"/>
  <c r="F441" i="6"/>
  <c r="E441" i="6"/>
  <c r="E440" i="6"/>
  <c r="F440" i="6" s="1"/>
  <c r="F439" i="6"/>
  <c r="E439" i="6"/>
  <c r="E438" i="6"/>
  <c r="F438" i="6" s="1"/>
  <c r="E437" i="6"/>
  <c r="F437" i="6" s="1"/>
  <c r="E436" i="6"/>
  <c r="F436" i="6" s="1"/>
  <c r="F435" i="6"/>
  <c r="E435" i="6"/>
  <c r="F434" i="6"/>
  <c r="E434" i="6"/>
  <c r="E433" i="6"/>
  <c r="F433" i="6" s="1"/>
  <c r="F432" i="6"/>
  <c r="E432" i="6"/>
  <c r="E431" i="6"/>
  <c r="F431" i="6" s="1"/>
  <c r="E430" i="6"/>
  <c r="F430" i="6" s="1"/>
  <c r="E429" i="6"/>
  <c r="F429" i="6" s="1"/>
  <c r="F428" i="6"/>
  <c r="E428" i="6"/>
  <c r="F427" i="6"/>
  <c r="E427" i="6"/>
  <c r="E426" i="6"/>
  <c r="F426" i="6" s="1"/>
  <c r="F425" i="6"/>
  <c r="E425" i="6"/>
  <c r="E424" i="6"/>
  <c r="F424" i="6" s="1"/>
  <c r="E423" i="6"/>
  <c r="F423" i="6" s="1"/>
  <c r="E422" i="6"/>
  <c r="F422" i="6" s="1"/>
  <c r="F421" i="6"/>
  <c r="E421" i="6"/>
  <c r="F420" i="6"/>
  <c r="E420" i="6"/>
  <c r="E419" i="6"/>
  <c r="F419" i="6" s="1"/>
  <c r="D418" i="6"/>
  <c r="C418" i="6"/>
  <c r="E417" i="6"/>
  <c r="E416" i="6"/>
  <c r="E415" i="6"/>
  <c r="E414" i="6"/>
  <c r="E413" i="6"/>
  <c r="E412" i="6"/>
  <c r="E411" i="6"/>
  <c r="E410" i="6"/>
  <c r="E409" i="6"/>
  <c r="E408" i="6"/>
  <c r="E407" i="6"/>
  <c r="E406" i="6"/>
  <c r="E405" i="6"/>
  <c r="E404" i="6"/>
  <c r="E403" i="6"/>
  <c r="E402" i="6"/>
  <c r="E401" i="6"/>
  <c r="E400" i="6"/>
  <c r="E399" i="6"/>
  <c r="E398" i="6"/>
  <c r="E397" i="6"/>
  <c r="E396" i="6"/>
  <c r="E395" i="6"/>
  <c r="E394" i="6"/>
  <c r="E393" i="6"/>
  <c r="E392" i="6"/>
  <c r="E391" i="6"/>
  <c r="E390" i="6"/>
  <c r="E389" i="6"/>
  <c r="E388" i="6"/>
  <c r="E387" i="6"/>
  <c r="E386" i="6"/>
  <c r="E385" i="6"/>
  <c r="E384" i="6"/>
  <c r="E383" i="6"/>
  <c r="E382" i="6"/>
  <c r="E381" i="6"/>
  <c r="E380" i="6"/>
  <c r="E379" i="6"/>
  <c r="E378" i="6"/>
  <c r="E377" i="6"/>
  <c r="E376" i="6"/>
  <c r="E375" i="6"/>
  <c r="E374" i="6"/>
  <c r="E373" i="6"/>
  <c r="E372" i="6"/>
  <c r="E371" i="6"/>
  <c r="E370" i="6"/>
  <c r="E369" i="6"/>
  <c r="E368" i="6"/>
  <c r="E367" i="6"/>
  <c r="E366" i="6"/>
  <c r="E365" i="6"/>
  <c r="E364" i="6"/>
  <c r="E363" i="6"/>
  <c r="E362" i="6"/>
  <c r="E361" i="6"/>
  <c r="E360" i="6"/>
  <c r="E359" i="6"/>
  <c r="E358" i="6"/>
  <c r="E357" i="6"/>
  <c r="E356" i="6"/>
  <c r="E355" i="6"/>
  <c r="E354" i="6"/>
  <c r="E353" i="6"/>
  <c r="E352" i="6"/>
  <c r="E351" i="6"/>
  <c r="E350" i="6"/>
  <c r="E349" i="6"/>
  <c r="E348" i="6"/>
  <c r="E347" i="6"/>
  <c r="E346" i="6"/>
  <c r="E345" i="6"/>
  <c r="E344" i="6"/>
  <c r="E343" i="6"/>
  <c r="E342" i="6"/>
  <c r="E341" i="6"/>
  <c r="E340" i="6"/>
  <c r="E339" i="6"/>
  <c r="E338" i="6"/>
  <c r="E337" i="6"/>
  <c r="E336" i="6"/>
  <c r="E335" i="6"/>
  <c r="E334" i="6"/>
  <c r="E333" i="6"/>
  <c r="E332" i="6"/>
  <c r="E331" i="6"/>
  <c r="E330" i="6"/>
  <c r="E329" i="6"/>
  <c r="E328" i="6"/>
  <c r="E327" i="6"/>
  <c r="E326" i="6"/>
  <c r="E325" i="6"/>
  <c r="E324" i="6"/>
  <c r="E323" i="6"/>
  <c r="E322" i="6"/>
  <c r="E321" i="6"/>
  <c r="E320" i="6"/>
  <c r="E319" i="6"/>
  <c r="E318" i="6"/>
  <c r="E317" i="6"/>
  <c r="E316" i="6"/>
  <c r="E315" i="6"/>
  <c r="E314" i="6"/>
  <c r="E313" i="6"/>
  <c r="E312" i="6"/>
  <c r="E311" i="6"/>
  <c r="E310" i="6"/>
  <c r="E309" i="6"/>
  <c r="E308" i="6"/>
  <c r="E307" i="6"/>
  <c r="E306" i="6"/>
  <c r="E305" i="6"/>
  <c r="E304" i="6"/>
  <c r="E303" i="6"/>
  <c r="E302" i="6"/>
  <c r="E301" i="6"/>
  <c r="E300" i="6"/>
  <c r="E299" i="6"/>
  <c r="E298" i="6"/>
  <c r="E297" i="6"/>
  <c r="E296" i="6"/>
  <c r="E295" i="6"/>
  <c r="E294" i="6"/>
  <c r="E293" i="6"/>
  <c r="E292" i="6"/>
  <c r="E291" i="6"/>
  <c r="E290" i="6"/>
  <c r="E289" i="6"/>
  <c r="E288" i="6"/>
  <c r="E287" i="6"/>
  <c r="E286" i="6"/>
  <c r="E285" i="6"/>
  <c r="E284" i="6"/>
  <c r="E283" i="6"/>
  <c r="E282" i="6"/>
  <c r="E281" i="6"/>
  <c r="E280" i="6"/>
  <c r="E277" i="6" s="1"/>
  <c r="E279" i="6"/>
  <c r="E278" i="6"/>
  <c r="D277" i="6"/>
  <c r="C277" i="6"/>
  <c r="E276" i="6"/>
  <c r="E275" i="6"/>
  <c r="E274" i="6"/>
  <c r="E273" i="6"/>
  <c r="E272" i="6"/>
  <c r="E271" i="6"/>
  <c r="E270" i="6"/>
  <c r="E269" i="6"/>
  <c r="E268" i="6"/>
  <c r="E267" i="6"/>
  <c r="E266" i="6"/>
  <c r="E265" i="6"/>
  <c r="E264" i="6"/>
  <c r="E263" i="6"/>
  <c r="E262" i="6"/>
  <c r="E261" i="6"/>
  <c r="E260" i="6"/>
  <c r="E259" i="6"/>
  <c r="E258" i="6"/>
  <c r="E257" i="6"/>
  <c r="E256" i="6"/>
  <c r="E255" i="6"/>
  <c r="E254" i="6"/>
  <c r="E253" i="6"/>
  <c r="E252" i="6"/>
  <c r="E251" i="6"/>
  <c r="E250" i="6"/>
  <c r="E249" i="6"/>
  <c r="E248" i="6"/>
  <c r="E247" i="6"/>
  <c r="E246" i="6"/>
  <c r="E245" i="6"/>
  <c r="E244" i="6"/>
  <c r="E243" i="6"/>
  <c r="E242" i="6"/>
  <c r="E241" i="6"/>
  <c r="E240" i="6"/>
  <c r="E239" i="6"/>
  <c r="E238" i="6"/>
  <c r="E237" i="6"/>
  <c r="E236" i="6"/>
  <c r="E235" i="6"/>
  <c r="E234" i="6"/>
  <c r="E233" i="6"/>
  <c r="E232" i="6"/>
  <c r="E231" i="6"/>
  <c r="E230" i="6"/>
  <c r="E229" i="6"/>
  <c r="E228" i="6"/>
  <c r="E227" i="6"/>
  <c r="E226" i="6"/>
  <c r="E225" i="6"/>
  <c r="E224" i="6"/>
  <c r="E223" i="6"/>
  <c r="E222" i="6"/>
  <c r="E221" i="6"/>
  <c r="E220" i="6"/>
  <c r="E219" i="6"/>
  <c r="E218" i="6"/>
  <c r="E217" i="6"/>
  <c r="E216" i="6"/>
  <c r="E215" i="6"/>
  <c r="E214" i="6"/>
  <c r="E213" i="6"/>
  <c r="E212" i="6"/>
  <c r="E211" i="6"/>
  <c r="E210" i="6"/>
  <c r="E209" i="6"/>
  <c r="E208" i="6"/>
  <c r="E207" i="6"/>
  <c r="E206" i="6"/>
  <c r="E205" i="6"/>
  <c r="E204" i="6"/>
  <c r="E203" i="6"/>
  <c r="E202" i="6"/>
  <c r="E201" i="6"/>
  <c r="E200" i="6"/>
  <c r="E199" i="6"/>
  <c r="E198" i="6"/>
  <c r="E197" i="6"/>
  <c r="E196" i="6"/>
  <c r="E195" i="6"/>
  <c r="E194" i="6"/>
  <c r="E193" i="6"/>
  <c r="E192" i="6"/>
  <c r="E191" i="6"/>
  <c r="E190" i="6"/>
  <c r="E189" i="6"/>
  <c r="E188" i="6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F159" i="6" s="1"/>
  <c r="F158" i="6"/>
  <c r="E158" i="6"/>
  <c r="E157" i="6" s="1"/>
  <c r="D157" i="6"/>
  <c r="C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2" i="6" s="1"/>
  <c r="E5" i="6"/>
  <c r="E4" i="6"/>
  <c r="F4" i="6" s="1"/>
  <c r="F3" i="6"/>
  <c r="E3" i="6"/>
  <c r="D2" i="6"/>
  <c r="C2" i="6"/>
  <c r="E418" i="6" l="1"/>
  <c r="C240" i="3" l="1"/>
  <c r="F213" i="3"/>
  <c r="F219" i="3"/>
  <c r="F230" i="3"/>
  <c r="F233" i="3"/>
  <c r="C207" i="3"/>
  <c r="F178" i="3"/>
  <c r="F179" i="3"/>
  <c r="F180" i="3"/>
  <c r="F194" i="3"/>
  <c r="F198" i="3"/>
  <c r="F202" i="3"/>
  <c r="F204" i="3"/>
  <c r="F205" i="3"/>
  <c r="C174" i="3"/>
  <c r="C142" i="3"/>
  <c r="F118" i="3"/>
  <c r="F134" i="3"/>
  <c r="F140" i="3"/>
  <c r="C106" i="3"/>
  <c r="F75" i="3"/>
  <c r="F77" i="3"/>
  <c r="F90" i="3"/>
  <c r="F91" i="3"/>
  <c r="F95" i="3"/>
  <c r="F104" i="3"/>
  <c r="F105" i="3"/>
  <c r="C72" i="3"/>
  <c r="F40" i="3"/>
  <c r="F61" i="3"/>
  <c r="F68" i="3"/>
  <c r="C37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" i="3"/>
  <c r="E5" i="3"/>
  <c r="E8" i="3"/>
  <c r="E9" i="3"/>
  <c r="E13" i="3"/>
  <c r="E14" i="3"/>
  <c r="E21" i="3"/>
  <c r="E26" i="3"/>
  <c r="E29" i="3"/>
  <c r="E30" i="3"/>
  <c r="E34" i="3"/>
  <c r="E35" i="3"/>
  <c r="E36" i="3"/>
  <c r="E40" i="3"/>
  <c r="E43" i="3"/>
  <c r="F43" i="3" s="1"/>
  <c r="E49" i="3"/>
  <c r="F49" i="3" s="1"/>
  <c r="E55" i="3"/>
  <c r="F55" i="3" s="1"/>
  <c r="E59" i="3"/>
  <c r="F59" i="3" s="1"/>
  <c r="E61" i="3"/>
  <c r="E63" i="3"/>
  <c r="F63" i="3" s="1"/>
  <c r="E67" i="3"/>
  <c r="F67" i="3" s="1"/>
  <c r="E68" i="3"/>
  <c r="E69" i="3"/>
  <c r="F69" i="3" s="1"/>
  <c r="E70" i="3"/>
  <c r="F70" i="3" s="1"/>
  <c r="E71" i="3"/>
  <c r="F71" i="3" s="1"/>
  <c r="E75" i="3"/>
  <c r="E77" i="3"/>
  <c r="E84" i="3"/>
  <c r="F84" i="3" s="1"/>
  <c r="E86" i="3"/>
  <c r="F86" i="3" s="1"/>
  <c r="E90" i="3"/>
  <c r="E91" i="3"/>
  <c r="E95" i="3"/>
  <c r="E99" i="3"/>
  <c r="F99" i="3" s="1"/>
  <c r="E102" i="3"/>
  <c r="F102" i="3" s="1"/>
  <c r="E104" i="3"/>
  <c r="E105" i="3"/>
  <c r="E111" i="3"/>
  <c r="F111" i="3" s="1"/>
  <c r="E118" i="3"/>
  <c r="E125" i="3"/>
  <c r="F125" i="3" s="1"/>
  <c r="E128" i="3"/>
  <c r="F128" i="3" s="1"/>
  <c r="E130" i="3"/>
  <c r="F130" i="3" s="1"/>
  <c r="E134" i="3"/>
  <c r="E138" i="3"/>
  <c r="F138" i="3" s="1"/>
  <c r="E140" i="3"/>
  <c r="E145" i="3"/>
  <c r="F145" i="3" s="1"/>
  <c r="E152" i="3"/>
  <c r="F152" i="3" s="1"/>
  <c r="E159" i="3"/>
  <c r="F159" i="3" s="1"/>
  <c r="E164" i="3"/>
  <c r="F164" i="3" s="1"/>
  <c r="E168" i="3"/>
  <c r="F168" i="3" s="1"/>
  <c r="E170" i="3"/>
  <c r="F170" i="3" s="1"/>
  <c r="E171" i="3"/>
  <c r="F171" i="3" s="1"/>
  <c r="E178" i="3"/>
  <c r="E179" i="3"/>
  <c r="E180" i="3"/>
  <c r="E194" i="3"/>
  <c r="E196" i="3"/>
  <c r="F196" i="3" s="1"/>
  <c r="E198" i="3"/>
  <c r="E202" i="3"/>
  <c r="E203" i="3"/>
  <c r="F203" i="3" s="1"/>
  <c r="E204" i="3"/>
  <c r="E205" i="3"/>
  <c r="E211" i="3"/>
  <c r="F211" i="3" s="1"/>
  <c r="E212" i="3"/>
  <c r="F212" i="3" s="1"/>
  <c r="E213" i="3"/>
  <c r="E219" i="3"/>
  <c r="E225" i="3"/>
  <c r="F225" i="3" s="1"/>
  <c r="E230" i="3"/>
  <c r="E231" i="3"/>
  <c r="F231" i="3" s="1"/>
  <c r="E233" i="3"/>
  <c r="E236" i="3"/>
  <c r="F236" i="3" s="1"/>
  <c r="E237" i="3"/>
  <c r="F237" i="3" s="1"/>
  <c r="E238" i="3"/>
  <c r="F238" i="3" s="1"/>
  <c r="E244" i="3"/>
  <c r="F244" i="3" s="1"/>
  <c r="E250" i="3"/>
  <c r="F250" i="3" s="1"/>
  <c r="E257" i="3"/>
  <c r="F257" i="3" s="1"/>
  <c r="E261" i="3"/>
  <c r="F261" i="3" s="1"/>
  <c r="E264" i="3"/>
  <c r="F264" i="3" s="1"/>
  <c r="E265" i="3"/>
  <c r="F265" i="3" s="1"/>
  <c r="E269" i="3"/>
  <c r="F269" i="3" s="1"/>
  <c r="E270" i="3"/>
  <c r="F270" i="3" s="1"/>
  <c r="E272" i="3"/>
  <c r="F272" i="3" s="1"/>
  <c r="D242" i="3"/>
  <c r="E242" i="3" s="1"/>
  <c r="F242" i="3" s="1"/>
  <c r="D243" i="3"/>
  <c r="E243" i="3" s="1"/>
  <c r="F243" i="3" s="1"/>
  <c r="D245" i="3"/>
  <c r="E245" i="3" s="1"/>
  <c r="F245" i="3" s="1"/>
  <c r="D246" i="3"/>
  <c r="E246" i="3" s="1"/>
  <c r="F246" i="3" s="1"/>
  <c r="D247" i="3"/>
  <c r="E247" i="3" s="1"/>
  <c r="F247" i="3" s="1"/>
  <c r="D248" i="3"/>
  <c r="E248" i="3" s="1"/>
  <c r="F248" i="3" s="1"/>
  <c r="D249" i="3"/>
  <c r="E249" i="3" s="1"/>
  <c r="F249" i="3" s="1"/>
  <c r="D251" i="3"/>
  <c r="E251" i="3" s="1"/>
  <c r="F251" i="3" s="1"/>
  <c r="D252" i="3"/>
  <c r="E252" i="3" s="1"/>
  <c r="F252" i="3" s="1"/>
  <c r="D253" i="3"/>
  <c r="E253" i="3" s="1"/>
  <c r="F253" i="3" s="1"/>
  <c r="D254" i="3"/>
  <c r="E254" i="3" s="1"/>
  <c r="F254" i="3" s="1"/>
  <c r="D255" i="3"/>
  <c r="E255" i="3" s="1"/>
  <c r="F255" i="3" s="1"/>
  <c r="D256" i="3"/>
  <c r="E256" i="3" s="1"/>
  <c r="F256" i="3" s="1"/>
  <c r="D258" i="3"/>
  <c r="E258" i="3" s="1"/>
  <c r="F258" i="3" s="1"/>
  <c r="D259" i="3"/>
  <c r="E259" i="3" s="1"/>
  <c r="F259" i="3" s="1"/>
  <c r="D260" i="3"/>
  <c r="E260" i="3" s="1"/>
  <c r="F260" i="3" s="1"/>
  <c r="D262" i="3"/>
  <c r="E262" i="3" s="1"/>
  <c r="F262" i="3" s="1"/>
  <c r="D263" i="3"/>
  <c r="E263" i="3" s="1"/>
  <c r="F263" i="3" s="1"/>
  <c r="D266" i="3"/>
  <c r="E266" i="3" s="1"/>
  <c r="F266" i="3" s="1"/>
  <c r="D267" i="3"/>
  <c r="E267" i="3" s="1"/>
  <c r="F267" i="3" s="1"/>
  <c r="D268" i="3"/>
  <c r="E268" i="3" s="1"/>
  <c r="F268" i="3" s="1"/>
  <c r="D271" i="3"/>
  <c r="E271" i="3" s="1"/>
  <c r="F271" i="3" s="1"/>
  <c r="D273" i="3"/>
  <c r="E273" i="3" s="1"/>
  <c r="F273" i="3" s="1"/>
  <c r="D241" i="3"/>
  <c r="D240" i="3" s="1"/>
  <c r="D176" i="3"/>
  <c r="E176" i="3" s="1"/>
  <c r="F176" i="3" s="1"/>
  <c r="D177" i="3"/>
  <c r="E177" i="3" s="1"/>
  <c r="F177" i="3" s="1"/>
  <c r="D181" i="3"/>
  <c r="E181" i="3" s="1"/>
  <c r="F181" i="3" s="1"/>
  <c r="D182" i="3"/>
  <c r="E182" i="3" s="1"/>
  <c r="F182" i="3" s="1"/>
  <c r="D183" i="3"/>
  <c r="E183" i="3" s="1"/>
  <c r="F183" i="3" s="1"/>
  <c r="D184" i="3"/>
  <c r="E184" i="3" s="1"/>
  <c r="F184" i="3" s="1"/>
  <c r="D185" i="3"/>
  <c r="E185" i="3" s="1"/>
  <c r="F185" i="3" s="1"/>
  <c r="D186" i="3"/>
  <c r="E186" i="3" s="1"/>
  <c r="F186" i="3" s="1"/>
  <c r="D187" i="3"/>
  <c r="E187" i="3" s="1"/>
  <c r="F187" i="3" s="1"/>
  <c r="D188" i="3"/>
  <c r="E188" i="3" s="1"/>
  <c r="F188" i="3" s="1"/>
  <c r="D189" i="3"/>
  <c r="E189" i="3" s="1"/>
  <c r="F189" i="3" s="1"/>
  <c r="D190" i="3"/>
  <c r="E190" i="3" s="1"/>
  <c r="F190" i="3" s="1"/>
  <c r="D191" i="3"/>
  <c r="E191" i="3" s="1"/>
  <c r="F191" i="3" s="1"/>
  <c r="D192" i="3"/>
  <c r="E192" i="3" s="1"/>
  <c r="F192" i="3" s="1"/>
  <c r="D193" i="3"/>
  <c r="E193" i="3" s="1"/>
  <c r="F193" i="3" s="1"/>
  <c r="D195" i="3"/>
  <c r="E195" i="3" s="1"/>
  <c r="F195" i="3" s="1"/>
  <c r="D197" i="3"/>
  <c r="E197" i="3" s="1"/>
  <c r="F197" i="3" s="1"/>
  <c r="D199" i="3"/>
  <c r="E199" i="3" s="1"/>
  <c r="F199" i="3" s="1"/>
  <c r="D200" i="3"/>
  <c r="E200" i="3" s="1"/>
  <c r="F200" i="3" s="1"/>
  <c r="D201" i="3"/>
  <c r="E201" i="3" s="1"/>
  <c r="F201" i="3" s="1"/>
  <c r="D206" i="3"/>
  <c r="E206" i="3" s="1"/>
  <c r="F206" i="3" s="1"/>
  <c r="D208" i="3"/>
  <c r="E208" i="3" s="1"/>
  <c r="D209" i="3"/>
  <c r="E209" i="3" s="1"/>
  <c r="F209" i="3" s="1"/>
  <c r="D210" i="3"/>
  <c r="E210" i="3" s="1"/>
  <c r="F210" i="3" s="1"/>
  <c r="D214" i="3"/>
  <c r="E214" i="3" s="1"/>
  <c r="F214" i="3" s="1"/>
  <c r="D215" i="3"/>
  <c r="E215" i="3" s="1"/>
  <c r="F215" i="3" s="1"/>
  <c r="D216" i="3"/>
  <c r="E216" i="3" s="1"/>
  <c r="F216" i="3" s="1"/>
  <c r="D217" i="3"/>
  <c r="E217" i="3" s="1"/>
  <c r="F217" i="3" s="1"/>
  <c r="D218" i="3"/>
  <c r="E218" i="3" s="1"/>
  <c r="F218" i="3" s="1"/>
  <c r="D220" i="3"/>
  <c r="E220" i="3" s="1"/>
  <c r="F220" i="3" s="1"/>
  <c r="D221" i="3"/>
  <c r="E221" i="3" s="1"/>
  <c r="F221" i="3" s="1"/>
  <c r="D222" i="3"/>
  <c r="E222" i="3" s="1"/>
  <c r="F222" i="3" s="1"/>
  <c r="D223" i="3"/>
  <c r="E223" i="3" s="1"/>
  <c r="F223" i="3" s="1"/>
  <c r="D224" i="3"/>
  <c r="E224" i="3" s="1"/>
  <c r="F224" i="3" s="1"/>
  <c r="D226" i="3"/>
  <c r="E226" i="3" s="1"/>
  <c r="F226" i="3" s="1"/>
  <c r="D227" i="3"/>
  <c r="E227" i="3" s="1"/>
  <c r="F227" i="3" s="1"/>
  <c r="D228" i="3"/>
  <c r="E228" i="3" s="1"/>
  <c r="F228" i="3" s="1"/>
  <c r="D229" i="3"/>
  <c r="E229" i="3" s="1"/>
  <c r="F229" i="3" s="1"/>
  <c r="D232" i="3"/>
  <c r="E232" i="3" s="1"/>
  <c r="F232" i="3" s="1"/>
  <c r="D234" i="3"/>
  <c r="E234" i="3" s="1"/>
  <c r="F234" i="3" s="1"/>
  <c r="D235" i="3"/>
  <c r="E235" i="3" s="1"/>
  <c r="F235" i="3" s="1"/>
  <c r="D239" i="3"/>
  <c r="E239" i="3" s="1"/>
  <c r="F239" i="3" s="1"/>
  <c r="D175" i="3"/>
  <c r="D174" i="3" s="1"/>
  <c r="D144" i="3"/>
  <c r="E144" i="3" s="1"/>
  <c r="F144" i="3" s="1"/>
  <c r="D146" i="3"/>
  <c r="E146" i="3" s="1"/>
  <c r="F146" i="3" s="1"/>
  <c r="D147" i="3"/>
  <c r="E147" i="3" s="1"/>
  <c r="F147" i="3" s="1"/>
  <c r="D148" i="3"/>
  <c r="E148" i="3" s="1"/>
  <c r="F148" i="3" s="1"/>
  <c r="D149" i="3"/>
  <c r="E149" i="3" s="1"/>
  <c r="F149" i="3" s="1"/>
  <c r="D150" i="3"/>
  <c r="E150" i="3" s="1"/>
  <c r="F150" i="3" s="1"/>
  <c r="D151" i="3"/>
  <c r="E151" i="3" s="1"/>
  <c r="F151" i="3" s="1"/>
  <c r="D153" i="3"/>
  <c r="E153" i="3" s="1"/>
  <c r="F153" i="3" s="1"/>
  <c r="D154" i="3"/>
  <c r="E154" i="3" s="1"/>
  <c r="F154" i="3" s="1"/>
  <c r="D155" i="3"/>
  <c r="E155" i="3" s="1"/>
  <c r="F155" i="3" s="1"/>
  <c r="D156" i="3"/>
  <c r="E156" i="3" s="1"/>
  <c r="F156" i="3" s="1"/>
  <c r="D157" i="3"/>
  <c r="E157" i="3" s="1"/>
  <c r="F157" i="3" s="1"/>
  <c r="D158" i="3"/>
  <c r="E158" i="3" s="1"/>
  <c r="F158" i="3" s="1"/>
  <c r="D160" i="3"/>
  <c r="E160" i="3" s="1"/>
  <c r="F160" i="3" s="1"/>
  <c r="D161" i="3"/>
  <c r="E161" i="3" s="1"/>
  <c r="F161" i="3" s="1"/>
  <c r="D162" i="3"/>
  <c r="E162" i="3" s="1"/>
  <c r="F162" i="3" s="1"/>
  <c r="D163" i="3"/>
  <c r="E163" i="3" s="1"/>
  <c r="F163" i="3" s="1"/>
  <c r="D165" i="3"/>
  <c r="E165" i="3" s="1"/>
  <c r="F165" i="3" s="1"/>
  <c r="D166" i="3"/>
  <c r="E166" i="3" s="1"/>
  <c r="F166" i="3" s="1"/>
  <c r="D167" i="3"/>
  <c r="E167" i="3" s="1"/>
  <c r="F167" i="3" s="1"/>
  <c r="D169" i="3"/>
  <c r="E169" i="3" s="1"/>
  <c r="F169" i="3" s="1"/>
  <c r="D172" i="3"/>
  <c r="E172" i="3" s="1"/>
  <c r="F172" i="3" s="1"/>
  <c r="D173" i="3"/>
  <c r="E173" i="3" s="1"/>
  <c r="F173" i="3" s="1"/>
  <c r="D143" i="3"/>
  <c r="E143" i="3" s="1"/>
  <c r="D108" i="3"/>
  <c r="E108" i="3" s="1"/>
  <c r="F108" i="3" s="1"/>
  <c r="D109" i="3"/>
  <c r="E109" i="3" s="1"/>
  <c r="F109" i="3" s="1"/>
  <c r="D110" i="3"/>
  <c r="E110" i="3" s="1"/>
  <c r="F110" i="3" s="1"/>
  <c r="D112" i="3"/>
  <c r="E112" i="3" s="1"/>
  <c r="F112" i="3" s="1"/>
  <c r="D113" i="3"/>
  <c r="E113" i="3" s="1"/>
  <c r="F113" i="3" s="1"/>
  <c r="D114" i="3"/>
  <c r="E114" i="3" s="1"/>
  <c r="F114" i="3" s="1"/>
  <c r="D115" i="3"/>
  <c r="E115" i="3" s="1"/>
  <c r="F115" i="3" s="1"/>
  <c r="D116" i="3"/>
  <c r="E116" i="3" s="1"/>
  <c r="F116" i="3" s="1"/>
  <c r="D117" i="3"/>
  <c r="E117" i="3" s="1"/>
  <c r="F117" i="3" s="1"/>
  <c r="D119" i="3"/>
  <c r="E119" i="3" s="1"/>
  <c r="F119" i="3" s="1"/>
  <c r="D120" i="3"/>
  <c r="E120" i="3" s="1"/>
  <c r="F120" i="3" s="1"/>
  <c r="D121" i="3"/>
  <c r="E121" i="3" s="1"/>
  <c r="F121" i="3" s="1"/>
  <c r="D122" i="3"/>
  <c r="E122" i="3" s="1"/>
  <c r="F122" i="3" s="1"/>
  <c r="D123" i="3"/>
  <c r="E123" i="3" s="1"/>
  <c r="F123" i="3" s="1"/>
  <c r="D124" i="3"/>
  <c r="E124" i="3" s="1"/>
  <c r="F124" i="3" s="1"/>
  <c r="D126" i="3"/>
  <c r="E126" i="3" s="1"/>
  <c r="F126" i="3" s="1"/>
  <c r="D127" i="3"/>
  <c r="E127" i="3" s="1"/>
  <c r="F127" i="3" s="1"/>
  <c r="D129" i="3"/>
  <c r="E129" i="3" s="1"/>
  <c r="F129" i="3" s="1"/>
  <c r="D131" i="3"/>
  <c r="E131" i="3" s="1"/>
  <c r="F131" i="3" s="1"/>
  <c r="D132" i="3"/>
  <c r="E132" i="3" s="1"/>
  <c r="F132" i="3" s="1"/>
  <c r="D133" i="3"/>
  <c r="E133" i="3" s="1"/>
  <c r="F133" i="3" s="1"/>
  <c r="D135" i="3"/>
  <c r="E135" i="3" s="1"/>
  <c r="F135" i="3" s="1"/>
  <c r="D136" i="3"/>
  <c r="E136" i="3" s="1"/>
  <c r="F136" i="3" s="1"/>
  <c r="D137" i="3"/>
  <c r="E137" i="3" s="1"/>
  <c r="F137" i="3" s="1"/>
  <c r="D139" i="3"/>
  <c r="E139" i="3" s="1"/>
  <c r="F139" i="3" s="1"/>
  <c r="D141" i="3"/>
  <c r="E141" i="3" s="1"/>
  <c r="F141" i="3" s="1"/>
  <c r="D107" i="3"/>
  <c r="D106" i="3" s="1"/>
  <c r="D74" i="3"/>
  <c r="E74" i="3" s="1"/>
  <c r="F74" i="3" s="1"/>
  <c r="D76" i="3"/>
  <c r="E76" i="3" s="1"/>
  <c r="F76" i="3" s="1"/>
  <c r="D78" i="3"/>
  <c r="E78" i="3" s="1"/>
  <c r="F78" i="3" s="1"/>
  <c r="D79" i="3"/>
  <c r="E79" i="3" s="1"/>
  <c r="F79" i="3" s="1"/>
  <c r="D80" i="3"/>
  <c r="E80" i="3" s="1"/>
  <c r="F80" i="3" s="1"/>
  <c r="D81" i="3"/>
  <c r="E81" i="3" s="1"/>
  <c r="F81" i="3" s="1"/>
  <c r="D82" i="3"/>
  <c r="E82" i="3" s="1"/>
  <c r="F82" i="3" s="1"/>
  <c r="D83" i="3"/>
  <c r="E83" i="3" s="1"/>
  <c r="F83" i="3" s="1"/>
  <c r="D85" i="3"/>
  <c r="E85" i="3" s="1"/>
  <c r="F85" i="3" s="1"/>
  <c r="D87" i="3"/>
  <c r="E87" i="3" s="1"/>
  <c r="F87" i="3" s="1"/>
  <c r="D88" i="3"/>
  <c r="E88" i="3" s="1"/>
  <c r="F88" i="3" s="1"/>
  <c r="D89" i="3"/>
  <c r="E89" i="3" s="1"/>
  <c r="F89" i="3" s="1"/>
  <c r="D92" i="3"/>
  <c r="E92" i="3" s="1"/>
  <c r="F92" i="3" s="1"/>
  <c r="D93" i="3"/>
  <c r="E93" i="3" s="1"/>
  <c r="F93" i="3" s="1"/>
  <c r="D94" i="3"/>
  <c r="E94" i="3" s="1"/>
  <c r="F94" i="3" s="1"/>
  <c r="D96" i="3"/>
  <c r="E96" i="3" s="1"/>
  <c r="F96" i="3" s="1"/>
  <c r="D97" i="3"/>
  <c r="E97" i="3" s="1"/>
  <c r="F97" i="3" s="1"/>
  <c r="D98" i="3"/>
  <c r="E98" i="3" s="1"/>
  <c r="F98" i="3" s="1"/>
  <c r="D100" i="3"/>
  <c r="E100" i="3" s="1"/>
  <c r="F100" i="3" s="1"/>
  <c r="D101" i="3"/>
  <c r="E101" i="3" s="1"/>
  <c r="F101" i="3" s="1"/>
  <c r="D103" i="3"/>
  <c r="E103" i="3" s="1"/>
  <c r="F103" i="3" s="1"/>
  <c r="D73" i="3"/>
  <c r="D72" i="3" s="1"/>
  <c r="D39" i="3"/>
  <c r="E39" i="3" s="1"/>
  <c r="F39" i="3" s="1"/>
  <c r="D41" i="3"/>
  <c r="E41" i="3" s="1"/>
  <c r="F41" i="3" s="1"/>
  <c r="D42" i="3"/>
  <c r="E42" i="3" s="1"/>
  <c r="F42" i="3" s="1"/>
  <c r="D44" i="3"/>
  <c r="E44" i="3" s="1"/>
  <c r="F44" i="3" s="1"/>
  <c r="D45" i="3"/>
  <c r="E45" i="3" s="1"/>
  <c r="F45" i="3" s="1"/>
  <c r="D46" i="3"/>
  <c r="E46" i="3" s="1"/>
  <c r="F46" i="3" s="1"/>
  <c r="D47" i="3"/>
  <c r="E47" i="3" s="1"/>
  <c r="F47" i="3" s="1"/>
  <c r="D48" i="3"/>
  <c r="E48" i="3" s="1"/>
  <c r="F48" i="3" s="1"/>
  <c r="D50" i="3"/>
  <c r="E50" i="3" s="1"/>
  <c r="F50" i="3" s="1"/>
  <c r="D51" i="3"/>
  <c r="E51" i="3" s="1"/>
  <c r="F51" i="3" s="1"/>
  <c r="D52" i="3"/>
  <c r="E52" i="3" s="1"/>
  <c r="F52" i="3" s="1"/>
  <c r="D53" i="3"/>
  <c r="E53" i="3" s="1"/>
  <c r="F53" i="3" s="1"/>
  <c r="D54" i="3"/>
  <c r="E54" i="3" s="1"/>
  <c r="F54" i="3" s="1"/>
  <c r="D56" i="3"/>
  <c r="E56" i="3" s="1"/>
  <c r="F56" i="3" s="1"/>
  <c r="D57" i="3"/>
  <c r="E57" i="3" s="1"/>
  <c r="F57" i="3" s="1"/>
  <c r="D58" i="3"/>
  <c r="E58" i="3" s="1"/>
  <c r="F58" i="3" s="1"/>
  <c r="D60" i="3"/>
  <c r="E60" i="3" s="1"/>
  <c r="F60" i="3" s="1"/>
  <c r="D62" i="3"/>
  <c r="E62" i="3" s="1"/>
  <c r="F62" i="3" s="1"/>
  <c r="D64" i="3"/>
  <c r="E64" i="3" s="1"/>
  <c r="F64" i="3" s="1"/>
  <c r="D65" i="3"/>
  <c r="E65" i="3" s="1"/>
  <c r="F65" i="3" s="1"/>
  <c r="D66" i="3"/>
  <c r="E66" i="3" s="1"/>
  <c r="F66" i="3" s="1"/>
  <c r="D38" i="3"/>
  <c r="D37" i="3" s="1"/>
  <c r="D4" i="3"/>
  <c r="E4" i="3" s="1"/>
  <c r="D6" i="3"/>
  <c r="E6" i="3" s="1"/>
  <c r="D7" i="3"/>
  <c r="E7" i="3" s="1"/>
  <c r="D10" i="3"/>
  <c r="E10" i="3" s="1"/>
  <c r="D11" i="3"/>
  <c r="E11" i="3" s="1"/>
  <c r="D12" i="3"/>
  <c r="E12" i="3" s="1"/>
  <c r="D15" i="3"/>
  <c r="E15" i="3" s="1"/>
  <c r="D16" i="3"/>
  <c r="E16" i="3" s="1"/>
  <c r="D17" i="3"/>
  <c r="E17" i="3" s="1"/>
  <c r="D18" i="3"/>
  <c r="E18" i="3" s="1"/>
  <c r="D19" i="3"/>
  <c r="E19" i="3" s="1"/>
  <c r="D20" i="3"/>
  <c r="E20" i="3" s="1"/>
  <c r="D22" i="3"/>
  <c r="E22" i="3" s="1"/>
  <c r="D23" i="3"/>
  <c r="E23" i="3" s="1"/>
  <c r="D24" i="3"/>
  <c r="E24" i="3" s="1"/>
  <c r="D25" i="3"/>
  <c r="E25" i="3" s="1"/>
  <c r="D27" i="3"/>
  <c r="E27" i="3" s="1"/>
  <c r="D28" i="3"/>
  <c r="E28" i="3" s="1"/>
  <c r="D31" i="3"/>
  <c r="E31" i="3" s="1"/>
  <c r="D32" i="3"/>
  <c r="E32" i="3" s="1"/>
  <c r="D33" i="3"/>
  <c r="E33" i="3" s="1"/>
  <c r="D3" i="3"/>
  <c r="E3" i="3" s="1"/>
  <c r="F208" i="3" l="1"/>
  <c r="E207" i="3"/>
  <c r="F143" i="3"/>
  <c r="E142" i="3"/>
  <c r="E2" i="3"/>
  <c r="E241" i="3"/>
  <c r="E38" i="3"/>
  <c r="D207" i="3"/>
  <c r="D142" i="3"/>
  <c r="E107" i="3"/>
  <c r="D2" i="3"/>
  <c r="E175" i="3"/>
  <c r="E73" i="3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30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37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12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258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196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2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69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3" i="4"/>
  <c r="F73" i="3" l="1"/>
  <c r="E72" i="3"/>
  <c r="F175" i="3"/>
  <c r="E174" i="3"/>
  <c r="F107" i="3"/>
  <c r="E106" i="3"/>
  <c r="F38" i="3"/>
  <c r="E37" i="3"/>
  <c r="F241" i="3"/>
  <c r="E240" i="3"/>
</calcChain>
</file>

<file path=xl/sharedStrings.xml><?xml version="1.0" encoding="utf-8"?>
<sst xmlns="http://schemas.openxmlformats.org/spreadsheetml/2006/main" count="2218" uniqueCount="489">
  <si>
    <t>Bogra</t>
  </si>
  <si>
    <t>Gazipur</t>
  </si>
  <si>
    <t>Khulna</t>
  </si>
  <si>
    <t>Natore</t>
  </si>
  <si>
    <t>Rajshahi</t>
  </si>
  <si>
    <t>Samiran Nath_111714</t>
  </si>
  <si>
    <t>Rangpur</t>
  </si>
  <si>
    <t>Lablur Rahman_107253</t>
  </si>
  <si>
    <t>Habib Al Mahabub_110026</t>
  </si>
  <si>
    <t>Rattan Kazi_104674</t>
  </si>
  <si>
    <t>Mizanur Rahman_089595</t>
  </si>
  <si>
    <t>Sylhet</t>
  </si>
  <si>
    <t>Mottalib Sarker_102551</t>
  </si>
  <si>
    <t>Masud Tarafder_107259</t>
  </si>
  <si>
    <t>Motaher Hossain_110038</t>
  </si>
  <si>
    <t>Faridpur</t>
  </si>
  <si>
    <t>Sultan Ahmed_108731</t>
  </si>
  <si>
    <t>S. M. Abu Taleb_113604</t>
  </si>
  <si>
    <t>Narsingdi</t>
  </si>
  <si>
    <t>Md. Fazlul Karim_113686</t>
  </si>
  <si>
    <t>Comilla</t>
  </si>
  <si>
    <t>Shahadat Hossain_119018</t>
  </si>
  <si>
    <t>Arfan Ali Khan_116675</t>
  </si>
  <si>
    <t>Saiful Islam_122951</t>
  </si>
  <si>
    <t>Arman Ahmed_120676</t>
  </si>
  <si>
    <t>Nur Alam Siddique_120671</t>
  </si>
  <si>
    <t>Md. Atiqur Rahman_126888</t>
  </si>
  <si>
    <t>Shaheb Ali_133505</t>
  </si>
  <si>
    <t>Noor Uddin_138094</t>
  </si>
  <si>
    <t>Harun or Rashid_138082</t>
  </si>
  <si>
    <t>Mymensingh</t>
  </si>
  <si>
    <t>Jessore</t>
  </si>
  <si>
    <t>Md. Abdul Hannan_994797</t>
  </si>
  <si>
    <t>Md. Fazlul Haque_149895</t>
  </si>
  <si>
    <t>Barisal</t>
  </si>
  <si>
    <t>Anwar Sadat_994793</t>
  </si>
  <si>
    <t>Rabiul Islam_000024</t>
  </si>
  <si>
    <t>Md. Mamunur Rashid_000019</t>
  </si>
  <si>
    <t>Abdul Hamid_155107</t>
  </si>
  <si>
    <t>Muhammad Aminul Huq_000081</t>
  </si>
  <si>
    <t>Palash Kumar Roy_000118</t>
  </si>
  <si>
    <t>Abdur Rahman_000250</t>
  </si>
  <si>
    <t>Sangib Kumer Sarker_000249</t>
  </si>
  <si>
    <t>Shake Johurul Goni_000251</t>
  </si>
  <si>
    <t>S.M. Abdul Motaleb_188086</t>
  </si>
  <si>
    <t>Atikur Rahman_000310</t>
  </si>
  <si>
    <t>Ariful Hoque Bhuain_000245</t>
  </si>
  <si>
    <t>Mozidul Islam_000375</t>
  </si>
  <si>
    <t>Mustafizur Rahman_000453</t>
  </si>
  <si>
    <t>Md. Ruhul Amin_000344</t>
  </si>
  <si>
    <t>Md. Anwar Hossain_000447</t>
  </si>
  <si>
    <t>Palash Chandra Das_000452</t>
  </si>
  <si>
    <t>Dinajpur</t>
  </si>
  <si>
    <t>Md. Arman Chowdhury_000561</t>
  </si>
  <si>
    <t>Kushtia</t>
  </si>
  <si>
    <t>Alamgir Hussain_000581</t>
  </si>
  <si>
    <t>Kalidas Kundu_000587</t>
  </si>
  <si>
    <t>Mohammad Shohag Miah_000588</t>
  </si>
  <si>
    <t>Md. Yasin Ali_000596</t>
  </si>
  <si>
    <t>Zannatul Ferdous_000661</t>
  </si>
  <si>
    <t>Md. Bokul Miah_000650</t>
  </si>
  <si>
    <t>Md. Murad Hossain_000648</t>
  </si>
  <si>
    <t>Abdulla Zihad Al Nayon_000657</t>
  </si>
  <si>
    <t>Monsur Ali Sarker_000656</t>
  </si>
  <si>
    <t>Md. Anwar Hossain_246929</t>
  </si>
  <si>
    <t>Shimul Sarkar_250911</t>
  </si>
  <si>
    <t>Mohammad Borhan Uddin_252059</t>
  </si>
  <si>
    <t>Mohammad Ayub Hussain_252055</t>
  </si>
  <si>
    <t>Jagadish Chandra Das_252556</t>
  </si>
  <si>
    <t>Md. Miraj Hossain_256914</t>
  </si>
  <si>
    <t>Shamsul Alam Shams_257703</t>
  </si>
  <si>
    <t>Md. Yasin Miah_257691</t>
  </si>
  <si>
    <t>Sheikh Mashiur Rahman_260089</t>
  </si>
  <si>
    <t>Ranjan Kumar Saha_263146</t>
  </si>
  <si>
    <t>Md. Mahabur Rahman_278252</t>
  </si>
  <si>
    <t>Habibur Rahman_277509</t>
  </si>
  <si>
    <t>Md.Mahfuzur Rahman_281814</t>
  </si>
  <si>
    <t>Md. Aminul Islam_288751</t>
  </si>
  <si>
    <t>Miron Dhar_295179</t>
  </si>
  <si>
    <t>A.B.M. Mahamudul Hasan_288948</t>
  </si>
  <si>
    <t>Md. Mamun Rahman _288763</t>
  </si>
  <si>
    <t>MD. Mizanur Rahman_307159</t>
  </si>
  <si>
    <t>Munshi Hasibul Islam_302396</t>
  </si>
  <si>
    <t>Sheikh Mohammad Kayesh Uddin_307151</t>
  </si>
  <si>
    <t>MD. Masud Rana_311922</t>
  </si>
  <si>
    <t>Keshore Kumar Ray_183906</t>
  </si>
  <si>
    <t>MD. Kamrul Hassain_310144</t>
  </si>
  <si>
    <t>Mohammad Gius Uddin_309899</t>
  </si>
  <si>
    <t>Md. Abul Hasan_314294</t>
  </si>
  <si>
    <t>Md. Eftekharul Alam_313558</t>
  </si>
  <si>
    <t>Twarit Barua_314863</t>
  </si>
  <si>
    <t>Md. Monoar Hossain_313598</t>
  </si>
  <si>
    <t>Md. Abu Mosa_313833</t>
  </si>
  <si>
    <t>Md. Mirajul Islam_314896</t>
  </si>
  <si>
    <t>Md. Enamul Hoque Khan_318760</t>
  </si>
  <si>
    <t>Syed Zahidur Rahman_327498</t>
  </si>
  <si>
    <t>Shah Newaz Kabir_328694</t>
  </si>
  <si>
    <t>Md. Masudur Rahman Sarker_330741</t>
  </si>
  <si>
    <t>Noor-E-Alam Siddiki_334842</t>
  </si>
  <si>
    <t>Pradip Kumar Kundu_336462</t>
  </si>
  <si>
    <t>Md. Enamul Kabir_342206</t>
  </si>
  <si>
    <t>Md. Abul Khair_348868</t>
  </si>
  <si>
    <t>Khan Nazmul Ahmed_350828</t>
  </si>
  <si>
    <t>Muazzam Hossain Mamun_350815</t>
  </si>
  <si>
    <t>Rupon Chattergee_354517</t>
  </si>
  <si>
    <t>Md. Mominul Islam_354819</t>
  </si>
  <si>
    <t>Md. Abdullah Al Mamun_356398</t>
  </si>
  <si>
    <t>Md. Anowar Parvege Sarker_361126</t>
  </si>
  <si>
    <t>Md. Imran Hossain_351821</t>
  </si>
  <si>
    <t>Bikash Kumer Moitra_365296</t>
  </si>
  <si>
    <t>Md. Rifat Hasan Soukat_364212</t>
  </si>
  <si>
    <t>Md. Sohel Rana_364214</t>
  </si>
  <si>
    <t>Nure Alom Siddik_365312</t>
  </si>
  <si>
    <t>Md. Ibrahim Hossain_361366</t>
  </si>
  <si>
    <t>Sumon Biswas_367043</t>
  </si>
  <si>
    <t>Arif Ahmed_367822</t>
  </si>
  <si>
    <t>Monowar Hossain_369028</t>
  </si>
  <si>
    <t>Md. Golam Morshed_369625</t>
  </si>
  <si>
    <t>S.M Imtiaz Uddin_371542</t>
  </si>
  <si>
    <t>Maniruzzaman_369649</t>
  </si>
  <si>
    <t>Md. Shabbir Rahman_370086</t>
  </si>
  <si>
    <t>Md. Samiul Alim_370087</t>
  </si>
  <si>
    <t>Nilufa Khatun_379732</t>
  </si>
  <si>
    <t>Md. Abul Kalam Azad_373522</t>
  </si>
  <si>
    <t>Shamim Ahmed_377741</t>
  </si>
  <si>
    <t>Tawfiq Hossen Khan_379821</t>
  </si>
  <si>
    <t>Md. Palash Molla_377738</t>
  </si>
  <si>
    <t>Ahasan Mobarak Ziko_383837</t>
  </si>
  <si>
    <t>Md. Jahidur Rahman_200363</t>
  </si>
  <si>
    <t>Ibrahim Khalil_387882</t>
  </si>
  <si>
    <t>Md. Atiqur Rahman_415852</t>
  </si>
  <si>
    <t>Mahmudul Hasan_415740</t>
  </si>
  <si>
    <t>Jahed Ullah_415010</t>
  </si>
  <si>
    <t>Md. Shahidul Islam_414576</t>
  </si>
  <si>
    <t>Md. Mahmudul Hasan_410755</t>
  </si>
  <si>
    <t>Md. Eiasin Khandaker_421067</t>
  </si>
  <si>
    <t>Md. Omar Faruque Miah_414627</t>
  </si>
  <si>
    <t>Md. Nuruzzaman Hossain_421183</t>
  </si>
  <si>
    <t>Md. Jakir Hossain_418536</t>
  </si>
  <si>
    <t>Mohammad Humayun Kabir_420647</t>
  </si>
  <si>
    <t>Md. Jahangir Alom_422187</t>
  </si>
  <si>
    <t>Sulekha Sabnam_430623</t>
  </si>
  <si>
    <t>Md. Rakibul Haque_431080</t>
  </si>
  <si>
    <t>Md. Liton Hossain_424575</t>
  </si>
  <si>
    <t>Md. Mainul Islam_439116</t>
  </si>
  <si>
    <t>Md. Mijanur Rahaman_441322</t>
  </si>
  <si>
    <t>Belal Hossain_438374</t>
  </si>
  <si>
    <t>K. M. Mahbubul Alam_444766</t>
  </si>
  <si>
    <t>Md. Sahidul Islam_440685</t>
  </si>
  <si>
    <t>Monir Hossain_438375</t>
  </si>
  <si>
    <t>Achinta Saha_447503</t>
  </si>
  <si>
    <t>Md. Asadul Haque_447036</t>
  </si>
  <si>
    <t>Jhantu Lal Das_452422</t>
  </si>
  <si>
    <t>Muhammad Gahangir Alam_455378</t>
  </si>
  <si>
    <t>Md. Riacit Khan_462005</t>
  </si>
  <si>
    <t>Md. Rezaul Alam_461768</t>
  </si>
  <si>
    <t>Md. Abdullah Al Mamun_461759</t>
  </si>
  <si>
    <t>Naharul Islam_461770</t>
  </si>
  <si>
    <t>Md. Mizanur Rahman_461727</t>
  </si>
  <si>
    <t>Md. Al Amin_461704</t>
  </si>
  <si>
    <t>Md. lqbal Hasan_463179</t>
  </si>
  <si>
    <t>Aminur Rahman_461556</t>
  </si>
  <si>
    <t>Ashit Baran Debnath_461585</t>
  </si>
  <si>
    <t>Sajib Kumar Shil_473071</t>
  </si>
  <si>
    <t>Mohammad Al-Amin Bhuiyan_232652</t>
  </si>
  <si>
    <t>Md. Abdul Based_461755</t>
  </si>
  <si>
    <t>Md. Nazmul Hossain_472061</t>
  </si>
  <si>
    <t>Md. Nasir Uddin_473211</t>
  </si>
  <si>
    <t>Md. Mizanur Rahman_473166</t>
  </si>
  <si>
    <t>Md. Saidul Islam_465941</t>
  </si>
  <si>
    <t>Md.Salauddin_462745</t>
  </si>
  <si>
    <t>Md. Golam Hazrat_473181</t>
  </si>
  <si>
    <t>Md. Mahfuzur Rahman_472053</t>
  </si>
  <si>
    <t>Masum Billah_467569</t>
  </si>
  <si>
    <t>Md. Habib Hossan_472182</t>
  </si>
  <si>
    <t>Md.Shafikul Islam_476335</t>
  </si>
  <si>
    <t>Md. Mahdi Hasan_474424</t>
  </si>
  <si>
    <t>Md. Ripon Ahmed_472060</t>
  </si>
  <si>
    <t>Md Shahadat Hosen_492611</t>
  </si>
  <si>
    <t>Saiykat Nandy_497317</t>
  </si>
  <si>
    <t>Palash Kumer Das_497796</t>
  </si>
  <si>
    <t>Md. Bony Amin_497771</t>
  </si>
  <si>
    <t>Rasel Ali_497781</t>
  </si>
  <si>
    <t>Md. Asaduzzaman_504021</t>
  </si>
  <si>
    <t>Al Razzik Ahmed_412673</t>
  </si>
  <si>
    <t>Md. Shohag Bepari_465436</t>
  </si>
  <si>
    <t>Shahrear Hossen_504002</t>
  </si>
  <si>
    <t>Md. Jahirul Islam_504103</t>
  </si>
  <si>
    <t>Shajalal Hosain_504098</t>
  </si>
  <si>
    <t>Riaz Mahamud Ovy_506731</t>
  </si>
  <si>
    <t>Rukhsana Akter_506699</t>
  </si>
  <si>
    <t>Md. Dalilur Rahman_171958</t>
  </si>
  <si>
    <t>Md. Mamun Ahmed_507724</t>
  </si>
  <si>
    <t>Md. Siddikur Rahman_506704</t>
  </si>
  <si>
    <t>Md. Juwel Mahamud_497780</t>
  </si>
  <si>
    <t>Abu Nasar Apu_502884</t>
  </si>
  <si>
    <t>Anwar Hosen_504017</t>
  </si>
  <si>
    <t>Md. Fakhrul Islam_505220</t>
  </si>
  <si>
    <t>Md. Mohi Uddin (Nahin)_509179</t>
  </si>
  <si>
    <t>Sham Proshad Aich_513998</t>
  </si>
  <si>
    <t>Rashadul Islam Noman_505202</t>
  </si>
  <si>
    <t>Md. Kamrul Hasan_511847</t>
  </si>
  <si>
    <t>Md. Shamim Hossen_521595</t>
  </si>
  <si>
    <t>Md. Shipon Miya_537205</t>
  </si>
  <si>
    <t>Md. Jasim Uddin_540905</t>
  </si>
  <si>
    <t>Md. Tusher Ahmed_544024</t>
  </si>
  <si>
    <t>Md. Ashraful Islam_544017</t>
  </si>
  <si>
    <t>Md. Kamrul Islam Emon_541923</t>
  </si>
  <si>
    <t>Md. Abdullah Al Mamun_545568</t>
  </si>
  <si>
    <t>Imran Hussain Shuvo_540874</t>
  </si>
  <si>
    <t>Umma Rumana_542759</t>
  </si>
  <si>
    <t>Md. Mehedi Hasan_542775</t>
  </si>
  <si>
    <t>Md. Maniruzzaman_551796</t>
  </si>
  <si>
    <t>Md. Abdullah Al Mamun_556067</t>
  </si>
  <si>
    <t>Bappi Saha_554434</t>
  </si>
  <si>
    <t>Md. Masudur Rahman_558046</t>
  </si>
  <si>
    <t>Md. Naharul Islam_550519</t>
  </si>
  <si>
    <t>Md. Sumon Ikbal_559685</t>
  </si>
  <si>
    <t>Anup Kumar Vaskar_560099</t>
  </si>
  <si>
    <t>Nazmul Kabir_556063</t>
  </si>
  <si>
    <t>Mamunur Rashid_559746</t>
  </si>
  <si>
    <t>Debasish Ghosh_559664</t>
  </si>
  <si>
    <t>Dilruba Yesmin_217333</t>
  </si>
  <si>
    <t>Dipan Sutradhar_556064</t>
  </si>
  <si>
    <t>Tushar Kanta Debnath_558936</t>
  </si>
  <si>
    <t>Md. Rana Hossain_561511</t>
  </si>
  <si>
    <t>Md. Shibli Mollik_564666</t>
  </si>
  <si>
    <t>Prabir Mazumder_573829</t>
  </si>
  <si>
    <t>Rayean Bin Maksud Shawon_568681</t>
  </si>
  <si>
    <t>Md. Nuruzzaman_559696</t>
  </si>
  <si>
    <t>Syed Tufayel Ahmed_568295</t>
  </si>
  <si>
    <t>Md. Rashed Uddin_560956</t>
  </si>
  <si>
    <t>Rofikul Islam_569405</t>
  </si>
  <si>
    <t>Md. Jakir Hossain Sajal_570325</t>
  </si>
  <si>
    <t>Liakat Ali_570333</t>
  </si>
  <si>
    <t>Md. Akram Hossain_515398</t>
  </si>
  <si>
    <t>Md. Nazmul Hossain_581121</t>
  </si>
  <si>
    <t>Tawkir Chy_580970</t>
  </si>
  <si>
    <t>Md. Mizanur Rahman_580573</t>
  </si>
  <si>
    <t>Md. Mhafujar Akando_585679</t>
  </si>
  <si>
    <t>Mohadeb Kumer Pramanik_587061</t>
  </si>
  <si>
    <t>Md. Jewel Rana_583475</t>
  </si>
  <si>
    <t>Shubha Ghosh_584788</t>
  </si>
  <si>
    <t>Md. Mahmudul Hasan_594394</t>
  </si>
  <si>
    <t>Md Arifur Rahman_577819</t>
  </si>
  <si>
    <t>Atik Hassan_584881</t>
  </si>
  <si>
    <t>Linkon Das_584862</t>
  </si>
  <si>
    <t>Anwarul Azim_590760</t>
  </si>
  <si>
    <t>Sujan Sarker_589795</t>
  </si>
  <si>
    <t>Zubaed Evna Zahid Rohan_591373</t>
  </si>
  <si>
    <t>Hasanul Banna_595046</t>
  </si>
  <si>
    <t>Md. Didarul Islam_581885</t>
  </si>
  <si>
    <t>Md. Taimur Hossain_592796</t>
  </si>
  <si>
    <t>Md. Ali Hossen_594222</t>
  </si>
  <si>
    <t>Md. Abdus Salam_592869</t>
  </si>
  <si>
    <t>Md. Masum_592719</t>
  </si>
  <si>
    <t>Md. Abdur Aufe_595149</t>
  </si>
  <si>
    <t>Abdur Rahman_592698</t>
  </si>
  <si>
    <t>Abu Bakar Shiddiqe_599479</t>
  </si>
  <si>
    <t>Md. Aman Ullah_599483</t>
  </si>
  <si>
    <t>Md. Shahad Ishtiaq Farabi_596933</t>
  </si>
  <si>
    <t>Ritu Barua_597020</t>
  </si>
  <si>
    <t>Amzad Hossain_595401</t>
  </si>
  <si>
    <t>Md Rashedul Alam MG_451093</t>
  </si>
  <si>
    <t>Md. Nadim Mia_599096</t>
  </si>
  <si>
    <t>Md. Atikur Rahman_598862</t>
  </si>
  <si>
    <t>Md. Bappy Akonda_601330</t>
  </si>
  <si>
    <t>Imdadul Haque_599484</t>
  </si>
  <si>
    <t>Md. Al Amin_607274</t>
  </si>
  <si>
    <t>Md. Labu Miah_601307</t>
  </si>
  <si>
    <t>Md Raziur Rahman_609294</t>
  </si>
  <si>
    <t>Md. Mahibur Rahman_596925</t>
  </si>
  <si>
    <t>Md. Samsuddin_614225</t>
  </si>
  <si>
    <t>Sujan Bagchi_603826</t>
  </si>
  <si>
    <t>Saiful Islam_607289</t>
  </si>
  <si>
    <t>Md. Sayful Islam_610424</t>
  </si>
  <si>
    <t>MD SHARIFUL ISLAM_608270</t>
  </si>
  <si>
    <t>Md. Mubarak_607294</t>
  </si>
  <si>
    <t>Md. Rashed Nezam_607268</t>
  </si>
  <si>
    <t>Md. Robiul Hossain_610437</t>
  </si>
  <si>
    <t>S M SHAMIM HOSSAIN_605516</t>
  </si>
  <si>
    <t>Foysal Ahmed_608231</t>
  </si>
  <si>
    <t>Rashel Miah_616337</t>
  </si>
  <si>
    <t>Asish Kumar Dauta_605449</t>
  </si>
  <si>
    <t>Md. Saiful Islam_612619</t>
  </si>
  <si>
    <t>Md. Faruque Hosen_619707</t>
  </si>
  <si>
    <t>Md. Shohel Rana_621835</t>
  </si>
  <si>
    <t>Avijit Karmakar_617992</t>
  </si>
  <si>
    <t>Arafath Hossain_621815</t>
  </si>
  <si>
    <t>Md. Ataur Rahman_617641</t>
  </si>
  <si>
    <t>Rubel Mia_631772</t>
  </si>
  <si>
    <t>Sharif Hossain_621852</t>
  </si>
  <si>
    <t>Md. Serajul  Islam_627043</t>
  </si>
  <si>
    <t>Md. Shahin Rana_631958</t>
  </si>
  <si>
    <t>Amita Chandra Sarker_635700</t>
  </si>
  <si>
    <t>Biraj Kanti Deb_638247</t>
  </si>
  <si>
    <t>Md. Mozammel Hoque_638187</t>
  </si>
  <si>
    <t>Md. Sohel Rana_632359</t>
  </si>
  <si>
    <t>Arifun Akter_639044</t>
  </si>
  <si>
    <t>Fagun  Sarkar_644133</t>
  </si>
  <si>
    <t>Sarker Abdul Aziz_561550</t>
  </si>
  <si>
    <t>Md Sabbir Akhanjee_639072</t>
  </si>
  <si>
    <t>Biswajit Roy_640831</t>
  </si>
  <si>
    <t>Mohammad Jafar Uddin_646098</t>
  </si>
  <si>
    <t>Md. Alauddin_647557</t>
  </si>
  <si>
    <t>Md. Shamiul Haque Shamim_638939</t>
  </si>
  <si>
    <t>Mohammad Asaduzzaman Nur_644861</t>
  </si>
  <si>
    <t>Sabuj Kanti Kritonia_649945</t>
  </si>
  <si>
    <t>Ratan Chandra Das_647175</t>
  </si>
  <si>
    <t>Mehedi Hasan_649944</t>
  </si>
  <si>
    <t>Ratan Biswas_649083</t>
  </si>
  <si>
    <t>Md. Ainul Nishat Nahid_648997</t>
  </si>
  <si>
    <t>Saddam Hossain_638990</t>
  </si>
  <si>
    <t>Md. Al- Amin Akanda_598309</t>
  </si>
  <si>
    <t>Mizanur Rahman_657614</t>
  </si>
  <si>
    <t>Md. Jahangir Alam_652403</t>
  </si>
  <si>
    <t>Md. Alamgir Hossain_662896</t>
  </si>
  <si>
    <t>Atindra Das Apu_655735</t>
  </si>
  <si>
    <t>Md. Raju Hossain Rony_670430</t>
  </si>
  <si>
    <t>Ahmed Jubair_670424</t>
  </si>
  <si>
    <t>Nayan Moni_665262</t>
  </si>
  <si>
    <t>Md. Abdus Salam_666010</t>
  </si>
  <si>
    <t>Md. Mijanur Rahman Mijan_665885</t>
  </si>
  <si>
    <t>Md. Hannan Miah_668223</t>
  </si>
  <si>
    <t>Palash Kumar Sarker_670762</t>
  </si>
  <si>
    <t>Md. Faysal Ahmed_668968</t>
  </si>
  <si>
    <t>Md. Nazmul Hossain_667300</t>
  </si>
  <si>
    <t>Md. Inzamamul Haque Remon_676011</t>
  </si>
  <si>
    <t>Md. Al-Mamun_668407</t>
  </si>
  <si>
    <t>Imtiaz Ahamad_670415</t>
  </si>
  <si>
    <t>Md. Zakaria_675632</t>
  </si>
  <si>
    <t>Md. Matiur Rahman_542288</t>
  </si>
  <si>
    <t>Md. Nazmul Hasan Sarkar_675216</t>
  </si>
  <si>
    <t>Junayed Ahmed_673884</t>
  </si>
  <si>
    <t>Md. Sohorab Hossen_277364</t>
  </si>
  <si>
    <t>Md. Almas Hossain_677655</t>
  </si>
  <si>
    <t>Md. Alamin_692507</t>
  </si>
  <si>
    <t>Md Zahirul Hossain_692439</t>
  </si>
  <si>
    <t>Hasibul Hasan Anik_692506</t>
  </si>
  <si>
    <t>Md. Saiful Islam_693693</t>
  </si>
  <si>
    <t>Amrita Sarker_693679</t>
  </si>
  <si>
    <t>Bijoy Chowdhury_694050</t>
  </si>
  <si>
    <t>Md. Tanjim Ahmmed Nahid_692464</t>
  </si>
  <si>
    <t>Samim Ahmod_696219</t>
  </si>
  <si>
    <t>Bipul Chandra Dash_695222</t>
  </si>
  <si>
    <t>Limon Chandra Das_697644</t>
  </si>
  <si>
    <t>Sheikh Saju_698724</t>
  </si>
  <si>
    <t>Didar Alom_698696</t>
  </si>
  <si>
    <t>Md. Asadul Islam_700817</t>
  </si>
  <si>
    <t>Israt Jahan_700810</t>
  </si>
  <si>
    <t>Ajharul Islam_695219</t>
  </si>
  <si>
    <t>Md. Jahurul Islam_698047</t>
  </si>
  <si>
    <t>Md. Hasan Khan_698168</t>
  </si>
  <si>
    <t>Md. Shahidul Islam_694598</t>
  </si>
  <si>
    <t>Ulfat Ara_696252</t>
  </si>
  <si>
    <t>Md. Minarul Islam_698249</t>
  </si>
  <si>
    <t>MD. Roni Ahmed_440074</t>
  </si>
  <si>
    <t>Samsul Arifin_700823</t>
  </si>
  <si>
    <t>Md. Shaiful Islam Khan_708852</t>
  </si>
  <si>
    <t>Khandaker Saymon_706718</t>
  </si>
  <si>
    <t>Nilamoy Mazumder_705729</t>
  </si>
  <si>
    <t>Md. Abul Kalam_232751</t>
  </si>
  <si>
    <t>Md. Jobayer Hasan_705284</t>
  </si>
  <si>
    <t>Md. Tajmul Haque_707069</t>
  </si>
  <si>
    <t>Md. Imran Hossain_707111</t>
  </si>
  <si>
    <t>Jibon Das_713821</t>
  </si>
  <si>
    <t>Kamol Chandra Mazumder_707604</t>
  </si>
  <si>
    <t>Mst Nasrin Akter_713515</t>
  </si>
  <si>
    <t>Md. Mahamudul Hasan Khan_713872</t>
  </si>
  <si>
    <t>Maruf Hasan_710890</t>
  </si>
  <si>
    <t>Sumon Chandra Roy_698209</t>
  </si>
  <si>
    <t>Rahul Das_713800</t>
  </si>
  <si>
    <t>Sk. Habib Uddin_231410</t>
  </si>
  <si>
    <t>Md Al Rabbi_713866</t>
  </si>
  <si>
    <t>Md. Yasin Arafat_715192</t>
  </si>
  <si>
    <t>Jillur Rahman_717688</t>
  </si>
  <si>
    <t>Md. Tariqul Islam Tareq_717751</t>
  </si>
  <si>
    <t>Raju Ahmed_711028</t>
  </si>
  <si>
    <t>Fuad Bin Naeem Uddin_718316</t>
  </si>
  <si>
    <t>Uzzal Roy_718026</t>
  </si>
  <si>
    <t>Md. Sorwar Hossain_717393</t>
  </si>
  <si>
    <t>Md. Raihan Robin_225072</t>
  </si>
  <si>
    <t>Jihad Chowdhury_722423</t>
  </si>
  <si>
    <t>Yousuf Ali_722960</t>
  </si>
  <si>
    <t>Md. Abu Sayeed_718335</t>
  </si>
  <si>
    <t>Md. Razib Ahmed_726806</t>
  </si>
  <si>
    <t>Md. Suman Meah_722748</t>
  </si>
  <si>
    <t>Md. Ashik Reza_724995</t>
  </si>
  <si>
    <t>Masuda Khanom_722658</t>
  </si>
  <si>
    <t>Tonmoy Kundu_723514</t>
  </si>
  <si>
    <t>Md. Israfil Hossen_727631</t>
  </si>
  <si>
    <t>Md. Rashadul Islam_727642</t>
  </si>
  <si>
    <t>Khandoker Rakibuzzaman_730173</t>
  </si>
  <si>
    <t>Md. Abdul Kader_717416</t>
  </si>
  <si>
    <t>Hafizur Rahman_730680</t>
  </si>
  <si>
    <t>Anukul Talukdar_719978</t>
  </si>
  <si>
    <t>Md. Imran_733786</t>
  </si>
  <si>
    <t>Md. Mizanur Rahman_718029</t>
  </si>
  <si>
    <t>Md. Shouag Hossain_732146</t>
  </si>
  <si>
    <t>Md.Shoaib Akther_540370</t>
  </si>
  <si>
    <t>Azadul Bari_726245</t>
  </si>
  <si>
    <t>Md. Mubarak Husain_230763</t>
  </si>
  <si>
    <t>Khandhaker Rubel_689682</t>
  </si>
  <si>
    <t>Ayon Saha_738992</t>
  </si>
  <si>
    <t>Rezaul Islam Razu_734434</t>
  </si>
  <si>
    <t>Minuddin Hosen_732421</t>
  </si>
  <si>
    <t>Md. Noor-A-Alam_727632</t>
  </si>
  <si>
    <t>Sheikh Sumon_740881</t>
  </si>
  <si>
    <t>Mafruha Sadman_739101</t>
  </si>
  <si>
    <t>Swarup Krishna Saha_554426</t>
  </si>
  <si>
    <t>Md. Shakil_739506</t>
  </si>
  <si>
    <t>Md. Mahmudul  Haque_748335</t>
  </si>
  <si>
    <t>Md. Alomgir_747232</t>
  </si>
  <si>
    <t>Md. Ariful Islam_698044</t>
  </si>
  <si>
    <t>Md. Ariful Islam _698044</t>
  </si>
  <si>
    <t>Md. A Aziz_749590</t>
  </si>
  <si>
    <t>Md. Samsul Arefen Sawon_747721</t>
  </si>
  <si>
    <t>Tanjil Ahammed_747029</t>
  </si>
  <si>
    <t>Md. Arob Hossain_747223</t>
  </si>
  <si>
    <t>Md. Delwar_750131</t>
  </si>
  <si>
    <t>Count of Account No.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</si>
  <si>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</si>
  <si>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</si>
  <si>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</si>
  <si>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</si>
  <si>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</si>
  <si>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</si>
  <si>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</si>
  <si>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</si>
  <si>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Branch</t>
  </si>
  <si>
    <t>Percentage</t>
  </si>
  <si>
    <t>Initiating STM</t>
  </si>
  <si>
    <t>Net Off</t>
  </si>
  <si>
    <t>Agrabad</t>
  </si>
  <si>
    <t>Bhola (Barisal)</t>
  </si>
  <si>
    <t>Bhulta</t>
  </si>
  <si>
    <t>Brahmanbaria (Comilla)</t>
  </si>
  <si>
    <t>Chowmuhani</t>
  </si>
  <si>
    <t>Dilkusha</t>
  </si>
  <si>
    <t>Elephant Road</t>
  </si>
  <si>
    <t>Feni (Chowmuhani)</t>
  </si>
  <si>
    <t>Gulshan</t>
  </si>
  <si>
    <t>Hobiganj</t>
  </si>
  <si>
    <t>Imamganj</t>
  </si>
  <si>
    <t>Keranigonj</t>
  </si>
  <si>
    <t>Mirpur</t>
  </si>
  <si>
    <t>Nandankanon</t>
  </si>
  <si>
    <t>Naogaon (Bogra)</t>
  </si>
  <si>
    <t>Narayangonj</t>
  </si>
  <si>
    <t>Pabna (Natore)</t>
  </si>
  <si>
    <t>Savar</t>
  </si>
  <si>
    <t>Shatkhira (Jessore)</t>
  </si>
  <si>
    <t>Tongi</t>
  </si>
  <si>
    <t>Sherpur (Mymensingh)</t>
  </si>
  <si>
    <t>Tangail (Gazipur)</t>
  </si>
  <si>
    <t>Forclosure for Top up</t>
  </si>
  <si>
    <t>Monthly Total</t>
  </si>
  <si>
    <t>Total</t>
  </si>
  <si>
    <t>Initiating RM</t>
  </si>
  <si>
    <t>Net Off Count</t>
  </si>
  <si>
    <t>Foreclosure for Top Up</t>
  </si>
  <si>
    <t>Jan</t>
  </si>
  <si>
    <t>Monthly total</t>
  </si>
  <si>
    <t>Feb</t>
  </si>
  <si>
    <t>Mar</t>
  </si>
  <si>
    <t>Apr</t>
  </si>
  <si>
    <t>Jun</t>
  </si>
  <si>
    <t>Jul</t>
  </si>
  <si>
    <t>Aug</t>
  </si>
  <si>
    <t>Sep</t>
  </si>
  <si>
    <t>A.K.M Tariqul Alom_718980</t>
  </si>
  <si>
    <t>Apurba Talukder_430614</t>
  </si>
  <si>
    <t>Bayzid Hossain_364210</t>
  </si>
  <si>
    <t>Md. Al Hafiz_550504</t>
  </si>
  <si>
    <t>Md. Al-Amin Akon_395497</t>
  </si>
  <si>
    <t>Md. Kamrul Hasan_542769</t>
  </si>
  <si>
    <t>Md. Kawser Hossain_529114</t>
  </si>
  <si>
    <t>Md. Nazir Ahmed_725148</t>
  </si>
  <si>
    <t>Md. Sohel Rana_564382</t>
  </si>
  <si>
    <t>Nippon Roy_472051</t>
  </si>
  <si>
    <t>Proshanto Kumar Mondol_401275</t>
  </si>
  <si>
    <t>Rakib Ahmed_703673</t>
  </si>
  <si>
    <t>Rakibul Hassan_559965</t>
  </si>
  <si>
    <t>Rasal Emtiaj_502382</t>
  </si>
  <si>
    <t>Sk Alimuzzaman _590769</t>
  </si>
  <si>
    <t>Month</t>
  </si>
  <si>
    <t>Interest rate</t>
  </si>
  <si>
    <t>Netoff count</t>
  </si>
  <si>
    <t>Foreclosure for netoff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</si>
</sst>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[$-409]d\-mmm\-yy;@"/>
    <numFmt numFmtId="166" formatCode="[$-409]mmmmm;@"/>
    <numFmt numFmtId="167" formatCode="0.0%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IDLC"/>
    </font>
    <font>
      <b/>
      <i/>
      <sz val="11"/>
      <color theme="1"/>
      <name val="IDLC"/>
    </font>
    <font>
      <b/>
      <sz val="11"/>
      <color theme="1"/>
      <name val="Calibri"/>
      <family val="2"/>
      <scheme val="minor"/>
    </font>
    <font>
      <b/>
      <sz val="11"/>
      <color theme="1"/>
      <name val="IDLC"/>
    </font>
    <font>
      <b/>
      <sz val="11"/>
      <name val="IDLC"/>
    </font>
    <font>
      <sz val="11"/>
      <name val="IDLC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rgb="FF666699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medium">
        <color rgb="FF4472C4"/>
      </top>
      <bottom style="thin">
        <color rgb="FFB7B7B7"/>
      </bottom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1" fillId="0" borderId="0"/>
  </cellStyleXfs>
  <cellXfs count="25">
    <xf numFmtId="0" fontId="0" fillId="0" borderId="0" xfId="0"/>
    <xf numFmtId="0" fontId="3" fillId="0" borderId="0" xfId="0" applyFont="1"/>
    <xf numFmtId="0" fontId="3" fillId="0" borderId="1" xfId="0" applyFont="1" applyBorder="1"/>
    <xf numFmtId="0" fontId="3" fillId="0" borderId="1" xfId="0" applyNumberFormat="1" applyFont="1" applyBorder="1"/>
    <xf numFmtId="0" fontId="3" fillId="0" borderId="1" xfId="0" applyFont="1" applyBorder="1" applyAlignment="1">
      <alignment horizontal="left" indent="1"/>
    </xf>
    <xf numFmtId="164" fontId="3" fillId="0" borderId="1" xfId="0" applyNumberFormat="1" applyFont="1" applyBorder="1" applyAlignment="1">
      <alignment horizontal="left"/>
    </xf>
    <xf numFmtId="0" fontId="3" fillId="2" borderId="1" xfId="0" applyFont="1" applyFill="1" applyBorder="1"/>
    <xf numFmtId="0" fontId="4" fillId="2" borderId="1" xfId="0" applyFont="1" applyFill="1" applyBorder="1" applyAlignment="1">
      <alignment horizontal="center" vertical="center"/>
    </xf>
    <xf numFmtId="10" fontId="4" fillId="2" borderId="1" xfId="1" applyNumberFormat="1" applyFont="1" applyFill="1" applyBorder="1" applyAlignment="1">
      <alignment horizontal="center" vertical="center"/>
    </xf>
    <xf numFmtId="10" fontId="3" fillId="0" borderId="1" xfId="1" applyNumberFormat="1" applyFont="1" applyBorder="1"/>
    <xf numFmtId="10" fontId="3" fillId="2" borderId="1" xfId="1" applyNumberFormat="1" applyFont="1" applyFill="1" applyBorder="1"/>
    <xf numFmtId="166" fontId="6" fillId="0" borderId="1" xfId="0" applyNumberFormat="1" applyFont="1" applyBorder="1" applyAlignment="1">
      <alignment horizontal="left"/>
    </xf>
    <xf numFmtId="0" fontId="6" fillId="0" borderId="1" xfId="0" applyFont="1" applyBorder="1"/>
    <xf numFmtId="0" fontId="6" fillId="0" borderId="1" xfId="0" applyNumberFormat="1" applyFont="1" applyBorder="1"/>
    <xf numFmtId="10" fontId="6" fillId="0" borderId="1" xfId="1" applyNumberFormat="1" applyFont="1" applyBorder="1"/>
    <xf numFmtId="164" fontId="6" fillId="0" borderId="1" xfId="0" applyNumberFormat="1" applyFont="1" applyBorder="1" applyAlignment="1">
      <alignment horizontal="left"/>
    </xf>
    <xf numFmtId="0" fontId="5" fillId="0" borderId="0" xfId="0" applyFont="1"/>
    <xf numFmtId="0" fontId="6" fillId="0" borderId="1" xfId="0" applyFont="1" applyBorder="1" applyAlignment="1">
      <alignment horizontal="left"/>
    </xf>
    <xf numFmtId="0" fontId="7" fillId="3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10" fontId="8" fillId="0" borderId="2" xfId="0" applyNumberFormat="1" applyFont="1" applyBorder="1" applyAlignment="1">
      <alignment horizontal="center"/>
    </xf>
    <xf numFmtId="167" fontId="8" fillId="0" borderId="2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10" fontId="8" fillId="0" borderId="3" xfId="0" applyNumberFormat="1" applyFont="1" applyBorder="1" applyAlignment="1">
      <alignment horizontal="center"/>
    </xf>
    <xf numFmtId="167" fontId="8" fillId="0" borderId="3" xfId="0" applyNumberFormat="1" applyFont="1" applyBorder="1" applyAlignment="1">
      <alignment horizontal="center"/>
    </xf>
  </cellXfs>
  <cellStyles count="10">
    <cellStyle name="Comma 5" xfId="3"/>
    <cellStyle name="Comma 5 2" xfId="8"/>
    <cellStyle name="Normal" xfId="0" builtinId="0"/>
    <cellStyle name="Normal 10" xfId="5"/>
    <cellStyle name="Normal 2" xfId="6"/>
    <cellStyle name="Normal 2 2" xfId="7"/>
    <cellStyle name="Normal 2 4" xfId="9"/>
    <cellStyle name="Normal 8" xfId="2"/>
    <cellStyle name="Normal 8 2" xfId="4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obel\AppData\Roaming\Microsoft\Excel\Foreclosure%2520for%2520Topup312807402365436472\Foreclosure%2520for%2520Topup((Autosaved-312808062079616268)).xlsb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obel\AppData\Roaming\Microsoft\Excel\Foreclosure%2520for%2520Topup312807402365436472\Foreclosure%2520for%2520Topup((Autosaved-312807970047436963)).xlsb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obel\AppData\Roaming\Microsoft\Excel\Foreclosure%2520for%2520Topup312807402365436472\Foreclosure%2520for%2520Topup((Autosaved-312808003273793425))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7"/>
      <sheetName val="Foreclosure for Topup"/>
      <sheetName val="Sheet5"/>
      <sheetName val="Sheet4"/>
    </sheetNames>
    <sheetDataSet>
      <sheetData sheetId="0">
        <row r="5">
          <cell r="A5" t="str">
            <v>Agrabad</v>
          </cell>
          <cell r="B5">
            <v>7</v>
          </cell>
        </row>
        <row r="6">
          <cell r="A6" t="str">
            <v>Barisal</v>
          </cell>
          <cell r="B6">
            <v>5</v>
          </cell>
        </row>
        <row r="7">
          <cell r="A7" t="str">
            <v>Bhulta</v>
          </cell>
          <cell r="B7">
            <v>4</v>
          </cell>
        </row>
        <row r="8">
          <cell r="A8" t="str">
            <v>Bogra</v>
          </cell>
          <cell r="B8">
            <v>3</v>
          </cell>
        </row>
        <row r="9">
          <cell r="A9" t="str">
            <v>Comilla</v>
          </cell>
          <cell r="B9">
            <v>11</v>
          </cell>
        </row>
        <row r="10">
          <cell r="A10" t="str">
            <v>Dilkusha</v>
          </cell>
          <cell r="B10">
            <v>4</v>
          </cell>
        </row>
        <row r="11">
          <cell r="A11" t="str">
            <v>Dinajpur</v>
          </cell>
          <cell r="B11">
            <v>3</v>
          </cell>
        </row>
        <row r="12">
          <cell r="A12" t="str">
            <v>Elephant Road</v>
          </cell>
          <cell r="B12">
            <v>2</v>
          </cell>
        </row>
        <row r="13">
          <cell r="A13" t="str">
            <v>Gazipur</v>
          </cell>
          <cell r="B13">
            <v>2</v>
          </cell>
        </row>
        <row r="14">
          <cell r="A14" t="str">
            <v>Gulshan</v>
          </cell>
          <cell r="B14">
            <v>3</v>
          </cell>
        </row>
        <row r="15">
          <cell r="A15" t="str">
            <v>Hobiganj</v>
          </cell>
          <cell r="B15">
            <v>6</v>
          </cell>
        </row>
        <row r="16">
          <cell r="A16" t="str">
            <v>Imamganj</v>
          </cell>
          <cell r="B16">
            <v>5</v>
          </cell>
        </row>
        <row r="17">
          <cell r="A17" t="str">
            <v>Jessore</v>
          </cell>
          <cell r="B17">
            <v>10</v>
          </cell>
        </row>
        <row r="18">
          <cell r="A18" t="str">
            <v>Keranigonj</v>
          </cell>
          <cell r="B18">
            <v>2</v>
          </cell>
        </row>
        <row r="19">
          <cell r="A19" t="str">
            <v>Kushtia</v>
          </cell>
          <cell r="B19">
            <v>2</v>
          </cell>
        </row>
        <row r="20">
          <cell r="A20" t="str">
            <v>Mirpur</v>
          </cell>
          <cell r="B20">
            <v>5</v>
          </cell>
        </row>
        <row r="21">
          <cell r="A21" t="str">
            <v>Mymensingh</v>
          </cell>
          <cell r="B21">
            <v>1</v>
          </cell>
        </row>
        <row r="22">
          <cell r="A22" t="str">
            <v>Nandankanon</v>
          </cell>
          <cell r="B22">
            <v>3</v>
          </cell>
        </row>
        <row r="23">
          <cell r="A23" t="str">
            <v>Narayangonj</v>
          </cell>
          <cell r="B23">
            <v>5</v>
          </cell>
        </row>
        <row r="24">
          <cell r="A24" t="str">
            <v>Narsingdi</v>
          </cell>
          <cell r="B24">
            <v>1</v>
          </cell>
        </row>
        <row r="25">
          <cell r="A25" t="str">
            <v>Rajshahi</v>
          </cell>
          <cell r="B25">
            <v>7</v>
          </cell>
        </row>
        <row r="26">
          <cell r="A26" t="str">
            <v>Rangpur</v>
          </cell>
          <cell r="B26">
            <v>1</v>
          </cell>
        </row>
        <row r="27">
          <cell r="A27" t="str">
            <v>Savar</v>
          </cell>
          <cell r="B27">
            <v>2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Foreclosure for Topup"/>
    </sheetNames>
    <sheetDataSet>
      <sheetData sheetId="0">
        <row r="29">
          <cell r="A29" t="str">
            <v>Agrabad</v>
          </cell>
          <cell r="B29">
            <v>2</v>
          </cell>
        </row>
        <row r="30">
          <cell r="A30" t="str">
            <v>Barisal</v>
          </cell>
          <cell r="B30">
            <v>2</v>
          </cell>
        </row>
        <row r="31">
          <cell r="A31" t="str">
            <v>Bhulta</v>
          </cell>
          <cell r="B31">
            <v>2</v>
          </cell>
        </row>
        <row r="32">
          <cell r="A32" t="str">
            <v>Bogra</v>
          </cell>
          <cell r="B32">
            <v>1</v>
          </cell>
        </row>
        <row r="33">
          <cell r="A33" t="str">
            <v>Comilla</v>
          </cell>
          <cell r="B33">
            <v>5</v>
          </cell>
        </row>
        <row r="34">
          <cell r="A34" t="str">
            <v>Dilkusha</v>
          </cell>
          <cell r="B34">
            <v>5</v>
          </cell>
        </row>
        <row r="35">
          <cell r="A35" t="str">
            <v>Dinajpur</v>
          </cell>
          <cell r="B35">
            <v>3</v>
          </cell>
        </row>
        <row r="36">
          <cell r="A36" t="str">
            <v>Elephant Road</v>
          </cell>
          <cell r="B36">
            <v>3</v>
          </cell>
        </row>
        <row r="37">
          <cell r="A37" t="str">
            <v>Faridpur</v>
          </cell>
          <cell r="B37">
            <v>1</v>
          </cell>
        </row>
        <row r="38">
          <cell r="A38" t="str">
            <v>Gazipur</v>
          </cell>
          <cell r="B38">
            <v>3</v>
          </cell>
        </row>
        <row r="39">
          <cell r="A39" t="str">
            <v>Gulshan</v>
          </cell>
          <cell r="B39">
            <v>2</v>
          </cell>
        </row>
        <row r="40">
          <cell r="A40" t="str">
            <v>Hobiganj</v>
          </cell>
          <cell r="B40">
            <v>2</v>
          </cell>
        </row>
        <row r="41">
          <cell r="A41" t="str">
            <v>Imamganj</v>
          </cell>
          <cell r="B41">
            <v>3</v>
          </cell>
        </row>
        <row r="42">
          <cell r="A42" t="str">
            <v>Jessore</v>
          </cell>
          <cell r="B42">
            <v>8</v>
          </cell>
        </row>
        <row r="43">
          <cell r="A43" t="str">
            <v>Keranigonj</v>
          </cell>
          <cell r="B43">
            <v>4</v>
          </cell>
        </row>
        <row r="44">
          <cell r="A44" t="str">
            <v>Kushtia</v>
          </cell>
          <cell r="B44">
            <v>1</v>
          </cell>
        </row>
        <row r="45">
          <cell r="A45" t="str">
            <v>Mirpur</v>
          </cell>
          <cell r="B45">
            <v>1</v>
          </cell>
        </row>
        <row r="46">
          <cell r="A46" t="str">
            <v>Mymensingh</v>
          </cell>
          <cell r="B46">
            <v>3</v>
          </cell>
        </row>
        <row r="47">
          <cell r="A47" t="str">
            <v>Nandankanon</v>
          </cell>
          <cell r="B47">
            <v>6</v>
          </cell>
        </row>
        <row r="48">
          <cell r="A48" t="str">
            <v>Narayangonj</v>
          </cell>
          <cell r="B48">
            <v>7</v>
          </cell>
        </row>
        <row r="49">
          <cell r="A49" t="str">
            <v>Natore</v>
          </cell>
          <cell r="B49">
            <v>1</v>
          </cell>
        </row>
        <row r="50">
          <cell r="A50" t="str">
            <v>Rajshahi</v>
          </cell>
          <cell r="B50">
            <v>1</v>
          </cell>
        </row>
        <row r="51">
          <cell r="A51" t="str">
            <v>Rangpur</v>
          </cell>
          <cell r="B51">
            <v>5</v>
          </cell>
        </row>
        <row r="52">
          <cell r="A52" t="str">
            <v>Savar</v>
          </cell>
          <cell r="B52">
            <v>1</v>
          </cell>
        </row>
        <row r="79">
          <cell r="A79" t="str">
            <v>Agrabad</v>
          </cell>
          <cell r="B79">
            <v>5</v>
          </cell>
        </row>
        <row r="80">
          <cell r="A80" t="str">
            <v>Barisal</v>
          </cell>
          <cell r="B80">
            <v>6</v>
          </cell>
        </row>
        <row r="81">
          <cell r="A81" t="str">
            <v>Bhulta</v>
          </cell>
          <cell r="B81">
            <v>1</v>
          </cell>
        </row>
        <row r="82">
          <cell r="A82" t="str">
            <v>Bogra</v>
          </cell>
          <cell r="B82">
            <v>5</v>
          </cell>
        </row>
        <row r="83">
          <cell r="A83" t="str">
            <v>Chowmuhani</v>
          </cell>
          <cell r="B83">
            <v>2</v>
          </cell>
        </row>
        <row r="84">
          <cell r="A84" t="str">
            <v>Comilla</v>
          </cell>
          <cell r="B84">
            <v>13</v>
          </cell>
        </row>
        <row r="85">
          <cell r="A85" t="str">
            <v>Dilkusha</v>
          </cell>
          <cell r="B85">
            <v>5</v>
          </cell>
        </row>
        <row r="86">
          <cell r="A86" t="str">
            <v>Dinajpur</v>
          </cell>
          <cell r="B86">
            <v>4</v>
          </cell>
        </row>
        <row r="87">
          <cell r="A87" t="str">
            <v>Elephant Road</v>
          </cell>
          <cell r="B87">
            <v>6</v>
          </cell>
        </row>
        <row r="88">
          <cell r="A88" t="str">
            <v>Faridpur</v>
          </cell>
          <cell r="B88">
            <v>4</v>
          </cell>
        </row>
        <row r="89">
          <cell r="A89" t="str">
            <v>Gazipur</v>
          </cell>
          <cell r="B89">
            <v>3</v>
          </cell>
        </row>
        <row r="90">
          <cell r="A90" t="str">
            <v>Gulshan</v>
          </cell>
          <cell r="B90">
            <v>1</v>
          </cell>
        </row>
        <row r="91">
          <cell r="A91" t="str">
            <v>Hobiganj</v>
          </cell>
          <cell r="B91">
            <v>6</v>
          </cell>
        </row>
        <row r="92">
          <cell r="A92" t="str">
            <v>Imamganj</v>
          </cell>
          <cell r="B92">
            <v>7</v>
          </cell>
        </row>
        <row r="93">
          <cell r="A93" t="str">
            <v>Jessore</v>
          </cell>
          <cell r="B93">
            <v>7</v>
          </cell>
        </row>
        <row r="94">
          <cell r="A94" t="str">
            <v>Keranigonj</v>
          </cell>
          <cell r="B94">
            <v>7</v>
          </cell>
        </row>
        <row r="95">
          <cell r="A95" t="str">
            <v>Kushtia</v>
          </cell>
          <cell r="B95">
            <v>1</v>
          </cell>
        </row>
        <row r="96">
          <cell r="A96" t="str">
            <v>Mirpur</v>
          </cell>
          <cell r="B96">
            <v>2</v>
          </cell>
        </row>
        <row r="97">
          <cell r="A97" t="str">
            <v>Nandankanon</v>
          </cell>
          <cell r="B97">
            <v>7</v>
          </cell>
        </row>
        <row r="98">
          <cell r="A98" t="str">
            <v>Narayangonj</v>
          </cell>
          <cell r="B98">
            <v>1</v>
          </cell>
        </row>
        <row r="99">
          <cell r="A99" t="str">
            <v>Narsingdi</v>
          </cell>
          <cell r="B99">
            <v>1</v>
          </cell>
        </row>
        <row r="100">
          <cell r="A100" t="str">
            <v>Natore</v>
          </cell>
          <cell r="B100">
            <v>5</v>
          </cell>
        </row>
        <row r="101">
          <cell r="A101" t="str">
            <v>Rajshahi</v>
          </cell>
          <cell r="B101">
            <v>5</v>
          </cell>
        </row>
        <row r="102">
          <cell r="A102" t="str">
            <v>Rangpur</v>
          </cell>
          <cell r="B102">
            <v>3</v>
          </cell>
        </row>
        <row r="103">
          <cell r="A103" t="str">
            <v>Savar</v>
          </cell>
          <cell r="B103">
            <v>1</v>
          </cell>
        </row>
        <row r="104">
          <cell r="A104" t="str">
            <v>Sylhet</v>
          </cell>
          <cell r="B104">
            <v>2</v>
          </cell>
        </row>
        <row r="105">
          <cell r="A105" t="str">
            <v>Tongi</v>
          </cell>
          <cell r="B105">
            <v>3</v>
          </cell>
        </row>
        <row r="107">
          <cell r="A107" t="str">
            <v>Agrabad</v>
          </cell>
          <cell r="B107">
            <v>1</v>
          </cell>
        </row>
        <row r="108">
          <cell r="A108" t="str">
            <v>Barisal</v>
          </cell>
          <cell r="B108">
            <v>3</v>
          </cell>
        </row>
        <row r="109">
          <cell r="A109" t="str">
            <v>Bhulta</v>
          </cell>
          <cell r="B109">
            <v>5</v>
          </cell>
        </row>
        <row r="110">
          <cell r="A110" t="str">
            <v>Bogra</v>
          </cell>
          <cell r="B110">
            <v>1</v>
          </cell>
        </row>
        <row r="111">
          <cell r="A111" t="str">
            <v>Chowmuhani</v>
          </cell>
          <cell r="B111">
            <v>6</v>
          </cell>
        </row>
        <row r="112">
          <cell r="A112" t="str">
            <v>Comilla</v>
          </cell>
          <cell r="B112">
            <v>12</v>
          </cell>
        </row>
        <row r="113">
          <cell r="A113" t="str">
            <v>Dilkusha</v>
          </cell>
          <cell r="B113">
            <v>4</v>
          </cell>
        </row>
        <row r="114">
          <cell r="A114" t="str">
            <v>Dinajpur</v>
          </cell>
          <cell r="B114">
            <v>2</v>
          </cell>
        </row>
        <row r="115">
          <cell r="A115" t="str">
            <v>Elephant Road</v>
          </cell>
          <cell r="B115">
            <v>6</v>
          </cell>
        </row>
        <row r="116">
          <cell r="A116" t="str">
            <v>Faridpur</v>
          </cell>
          <cell r="B116">
            <v>1</v>
          </cell>
        </row>
        <row r="117">
          <cell r="A117" t="str">
            <v>Gazipur</v>
          </cell>
          <cell r="B117">
            <v>3</v>
          </cell>
        </row>
        <row r="118">
          <cell r="A118" t="str">
            <v>Gulshan</v>
          </cell>
          <cell r="B118">
            <v>3</v>
          </cell>
        </row>
        <row r="119">
          <cell r="A119" t="str">
            <v>Hobiganj</v>
          </cell>
          <cell r="B119">
            <v>3</v>
          </cell>
        </row>
        <row r="120">
          <cell r="A120" t="str">
            <v>Imamganj</v>
          </cell>
          <cell r="B120">
            <v>6</v>
          </cell>
        </row>
        <row r="121">
          <cell r="A121" t="str">
            <v>Jessore</v>
          </cell>
          <cell r="B121">
            <v>14</v>
          </cell>
        </row>
        <row r="122">
          <cell r="A122" t="str">
            <v>Keranigonj</v>
          </cell>
          <cell r="B122">
            <v>2</v>
          </cell>
        </row>
        <row r="123">
          <cell r="A123" t="str">
            <v>Kushtia</v>
          </cell>
          <cell r="B123">
            <v>1</v>
          </cell>
        </row>
        <row r="124">
          <cell r="A124" t="str">
            <v>Mirpur</v>
          </cell>
          <cell r="B124">
            <v>7</v>
          </cell>
        </row>
        <row r="125">
          <cell r="A125" t="str">
            <v>Mymensingh</v>
          </cell>
          <cell r="B125">
            <v>5</v>
          </cell>
        </row>
        <row r="126">
          <cell r="A126" t="str">
            <v>Nandankanon</v>
          </cell>
          <cell r="B126">
            <v>8</v>
          </cell>
        </row>
        <row r="127">
          <cell r="A127" t="str">
            <v>Narayangonj</v>
          </cell>
          <cell r="B127">
            <v>1</v>
          </cell>
        </row>
        <row r="128">
          <cell r="A128" t="str">
            <v>Narsingdi</v>
          </cell>
          <cell r="B128">
            <v>1</v>
          </cell>
        </row>
        <row r="129">
          <cell r="A129" t="str">
            <v>Natore</v>
          </cell>
          <cell r="B129">
            <v>2</v>
          </cell>
        </row>
        <row r="130">
          <cell r="A130" t="str">
            <v>Rajshahi</v>
          </cell>
          <cell r="B130">
            <v>2</v>
          </cell>
        </row>
        <row r="131">
          <cell r="A131" t="str">
            <v>Rangpur</v>
          </cell>
          <cell r="B131">
            <v>2</v>
          </cell>
        </row>
        <row r="132">
          <cell r="A132" t="str">
            <v>Sylhet</v>
          </cell>
          <cell r="B132">
            <v>1</v>
          </cell>
        </row>
        <row r="133">
          <cell r="A133" t="str">
            <v>Tongi</v>
          </cell>
          <cell r="B133">
            <v>2</v>
          </cell>
        </row>
        <row r="135">
          <cell r="A135" t="str">
            <v>Agrabad</v>
          </cell>
          <cell r="B135">
            <v>5</v>
          </cell>
        </row>
        <row r="136">
          <cell r="A136" t="str">
            <v>Barisal</v>
          </cell>
          <cell r="B136">
            <v>7</v>
          </cell>
        </row>
        <row r="137">
          <cell r="A137" t="str">
            <v>Bhulta</v>
          </cell>
          <cell r="B137">
            <v>4</v>
          </cell>
        </row>
        <row r="138">
          <cell r="A138" t="str">
            <v>Comilla</v>
          </cell>
          <cell r="B138">
            <v>26</v>
          </cell>
        </row>
        <row r="139">
          <cell r="A139" t="str">
            <v>Dilkusha</v>
          </cell>
          <cell r="B139">
            <v>7</v>
          </cell>
        </row>
        <row r="140">
          <cell r="A140" t="str">
            <v>Dinajpur</v>
          </cell>
          <cell r="B140">
            <v>7</v>
          </cell>
        </row>
        <row r="141">
          <cell r="A141" t="str">
            <v>Elephant Road</v>
          </cell>
          <cell r="B141">
            <v>1</v>
          </cell>
        </row>
        <row r="142">
          <cell r="A142" t="str">
            <v>Faridpur</v>
          </cell>
          <cell r="B142">
            <v>3</v>
          </cell>
        </row>
        <row r="143">
          <cell r="A143" t="str">
            <v>Gazipur</v>
          </cell>
          <cell r="B143">
            <v>4</v>
          </cell>
        </row>
        <row r="144">
          <cell r="A144" t="str">
            <v>Gulshan</v>
          </cell>
          <cell r="B144">
            <v>2</v>
          </cell>
        </row>
        <row r="145">
          <cell r="A145" t="str">
            <v>Hobiganj</v>
          </cell>
          <cell r="B145">
            <v>7</v>
          </cell>
        </row>
        <row r="146">
          <cell r="A146" t="str">
            <v>Imamganj</v>
          </cell>
          <cell r="B146">
            <v>2</v>
          </cell>
        </row>
        <row r="147">
          <cell r="A147" t="str">
            <v>Jessore</v>
          </cell>
          <cell r="B147">
            <v>5</v>
          </cell>
        </row>
        <row r="148">
          <cell r="A148" t="str">
            <v>Keranigonj</v>
          </cell>
          <cell r="B148">
            <v>2</v>
          </cell>
        </row>
        <row r="149">
          <cell r="A149" t="str">
            <v>Kushtia</v>
          </cell>
          <cell r="B149">
            <v>1</v>
          </cell>
        </row>
        <row r="150">
          <cell r="A150" t="str">
            <v>Mirpur</v>
          </cell>
          <cell r="B150">
            <v>3</v>
          </cell>
        </row>
        <row r="151">
          <cell r="A151" t="str">
            <v>Mymensingh</v>
          </cell>
          <cell r="B151">
            <v>1</v>
          </cell>
        </row>
        <row r="152">
          <cell r="A152" t="str">
            <v>Nandankanon</v>
          </cell>
          <cell r="B152">
            <v>4</v>
          </cell>
        </row>
        <row r="153">
          <cell r="A153" t="str">
            <v>Narayangonj</v>
          </cell>
          <cell r="B153">
            <v>5</v>
          </cell>
        </row>
        <row r="154">
          <cell r="A154" t="str">
            <v>Natore</v>
          </cell>
          <cell r="B154">
            <v>2</v>
          </cell>
        </row>
        <row r="155">
          <cell r="A155" t="str">
            <v>Rajshahi</v>
          </cell>
          <cell r="B155">
            <v>6</v>
          </cell>
        </row>
        <row r="156">
          <cell r="A156" t="str">
            <v>Rangpur</v>
          </cell>
          <cell r="B156">
            <v>1</v>
          </cell>
        </row>
        <row r="157">
          <cell r="A157" t="str">
            <v>Savar</v>
          </cell>
          <cell r="B157">
            <v>2</v>
          </cell>
        </row>
        <row r="158">
          <cell r="A158" t="str">
            <v>Tongi</v>
          </cell>
          <cell r="B158">
            <v>2</v>
          </cell>
        </row>
        <row r="190">
          <cell r="A190" t="str">
            <v>Agrabad</v>
          </cell>
          <cell r="B190">
            <v>4</v>
          </cell>
        </row>
        <row r="191">
          <cell r="A191" t="str">
            <v>Barisal</v>
          </cell>
          <cell r="B191">
            <v>5</v>
          </cell>
        </row>
        <row r="192">
          <cell r="A192" t="str">
            <v>Bhulta</v>
          </cell>
          <cell r="B192">
            <v>8</v>
          </cell>
        </row>
        <row r="193">
          <cell r="A193" t="str">
            <v>Bogra</v>
          </cell>
          <cell r="B193">
            <v>1</v>
          </cell>
        </row>
        <row r="194">
          <cell r="A194" t="str">
            <v>Chowmuhani</v>
          </cell>
          <cell r="B194">
            <v>7</v>
          </cell>
        </row>
        <row r="195">
          <cell r="A195" t="str">
            <v>Comilla</v>
          </cell>
          <cell r="B195">
            <v>19</v>
          </cell>
        </row>
        <row r="196">
          <cell r="A196" t="str">
            <v>Dilkusha</v>
          </cell>
          <cell r="B196">
            <v>14</v>
          </cell>
        </row>
        <row r="197">
          <cell r="A197" t="str">
            <v>Dinajpur</v>
          </cell>
          <cell r="B197">
            <v>3</v>
          </cell>
        </row>
        <row r="198">
          <cell r="A198" t="str">
            <v>Elephant Road</v>
          </cell>
          <cell r="B198">
            <v>3</v>
          </cell>
        </row>
        <row r="199">
          <cell r="A199" t="str">
            <v>Faridpur</v>
          </cell>
          <cell r="B199">
            <v>2</v>
          </cell>
        </row>
        <row r="200">
          <cell r="A200" t="str">
            <v>Gazipur</v>
          </cell>
          <cell r="B200">
            <v>3</v>
          </cell>
        </row>
        <row r="201">
          <cell r="A201" t="str">
            <v>Gulshan</v>
          </cell>
          <cell r="B201">
            <v>8</v>
          </cell>
        </row>
        <row r="202">
          <cell r="A202" t="str">
            <v>Hobiganj</v>
          </cell>
          <cell r="B202">
            <v>3</v>
          </cell>
        </row>
        <row r="203">
          <cell r="A203" t="str">
            <v>Imamganj</v>
          </cell>
          <cell r="B203">
            <v>11</v>
          </cell>
        </row>
        <row r="204">
          <cell r="A204" t="str">
            <v>Jessore</v>
          </cell>
          <cell r="B204">
            <v>7</v>
          </cell>
        </row>
        <row r="205">
          <cell r="A205" t="str">
            <v>Keranigonj</v>
          </cell>
          <cell r="B205">
            <v>2</v>
          </cell>
        </row>
        <row r="206">
          <cell r="A206" t="str">
            <v>Kushtia</v>
          </cell>
          <cell r="B206">
            <v>3</v>
          </cell>
        </row>
        <row r="207">
          <cell r="A207" t="str">
            <v>Mirpur</v>
          </cell>
          <cell r="B207">
            <v>7</v>
          </cell>
        </row>
        <row r="208">
          <cell r="A208" t="str">
            <v>Mymensingh</v>
          </cell>
          <cell r="B208">
            <v>5</v>
          </cell>
        </row>
        <row r="209">
          <cell r="A209" t="str">
            <v>Nandankanon</v>
          </cell>
          <cell r="B209">
            <v>5</v>
          </cell>
        </row>
        <row r="210">
          <cell r="A210" t="str">
            <v>Narayangonj</v>
          </cell>
          <cell r="B210">
            <v>5</v>
          </cell>
        </row>
        <row r="211">
          <cell r="A211" t="str">
            <v>Narsingdi</v>
          </cell>
          <cell r="B211">
            <v>4</v>
          </cell>
        </row>
        <row r="212">
          <cell r="A212" t="str">
            <v>Rajshahi</v>
          </cell>
          <cell r="B212">
            <v>4</v>
          </cell>
        </row>
        <row r="213">
          <cell r="A213" t="str">
            <v>Rangpur</v>
          </cell>
          <cell r="B213">
            <v>8</v>
          </cell>
        </row>
        <row r="214">
          <cell r="A214" t="str">
            <v>Savar</v>
          </cell>
          <cell r="B214">
            <v>2</v>
          </cell>
        </row>
        <row r="215">
          <cell r="A215" t="str">
            <v>Sylhet</v>
          </cell>
          <cell r="B215">
            <v>1</v>
          </cell>
        </row>
        <row r="216">
          <cell r="A216" t="str">
            <v>Tongi</v>
          </cell>
          <cell r="B216">
            <v>1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Foreclosure for Topup"/>
    </sheetNames>
    <sheetDataSet>
      <sheetData sheetId="0">
        <row r="54">
          <cell r="A54" t="str">
            <v>Agrabad</v>
          </cell>
          <cell r="B54">
            <v>2</v>
          </cell>
        </row>
        <row r="55">
          <cell r="A55" t="str">
            <v>Barisal</v>
          </cell>
          <cell r="B55">
            <v>1</v>
          </cell>
        </row>
        <row r="56">
          <cell r="A56" t="str">
            <v>Bogra</v>
          </cell>
          <cell r="B56">
            <v>1</v>
          </cell>
        </row>
        <row r="57">
          <cell r="A57" t="str">
            <v>Chowmuhani</v>
          </cell>
          <cell r="B57">
            <v>2</v>
          </cell>
        </row>
        <row r="58">
          <cell r="A58" t="str">
            <v>Comilla</v>
          </cell>
          <cell r="B58">
            <v>16</v>
          </cell>
        </row>
        <row r="59">
          <cell r="A59" t="str">
            <v>Dilkusha</v>
          </cell>
          <cell r="B59">
            <v>6</v>
          </cell>
        </row>
        <row r="60">
          <cell r="A60" t="str">
            <v>Dinajpur</v>
          </cell>
          <cell r="B60">
            <v>3</v>
          </cell>
        </row>
        <row r="61">
          <cell r="A61" t="str">
            <v>Elephant Road</v>
          </cell>
          <cell r="B61">
            <v>1</v>
          </cell>
        </row>
        <row r="62">
          <cell r="A62" t="str">
            <v>Faridpur</v>
          </cell>
          <cell r="B62">
            <v>3</v>
          </cell>
        </row>
        <row r="63">
          <cell r="A63" t="str">
            <v>Gazipur</v>
          </cell>
          <cell r="B63">
            <v>1</v>
          </cell>
        </row>
        <row r="64">
          <cell r="A64" t="str">
            <v>Hobiganj</v>
          </cell>
          <cell r="B64">
            <v>7</v>
          </cell>
        </row>
        <row r="65">
          <cell r="A65" t="str">
            <v>Imamganj</v>
          </cell>
          <cell r="B65">
            <v>2</v>
          </cell>
        </row>
        <row r="66">
          <cell r="A66" t="str">
            <v>Jessore</v>
          </cell>
          <cell r="B66">
            <v>3</v>
          </cell>
        </row>
        <row r="67">
          <cell r="A67" t="str">
            <v>Keranigonj</v>
          </cell>
          <cell r="B67">
            <v>18</v>
          </cell>
        </row>
        <row r="68">
          <cell r="A68" t="str">
            <v>Mirpur</v>
          </cell>
          <cell r="B68">
            <v>2</v>
          </cell>
        </row>
        <row r="69">
          <cell r="A69" t="str">
            <v>Mymensingh</v>
          </cell>
          <cell r="B69">
            <v>1</v>
          </cell>
        </row>
        <row r="70">
          <cell r="A70" t="str">
            <v>Nandankanon</v>
          </cell>
          <cell r="B70">
            <v>5</v>
          </cell>
        </row>
        <row r="71">
          <cell r="A71" t="str">
            <v>Narayangonj</v>
          </cell>
          <cell r="B71">
            <v>1</v>
          </cell>
        </row>
        <row r="72">
          <cell r="A72" t="str">
            <v>Narsingdi</v>
          </cell>
          <cell r="B72">
            <v>2</v>
          </cell>
        </row>
        <row r="73">
          <cell r="A73" t="str">
            <v>Natore</v>
          </cell>
          <cell r="B73">
            <v>3</v>
          </cell>
        </row>
        <row r="74">
          <cell r="A74" t="str">
            <v>Rajshahi</v>
          </cell>
          <cell r="B74">
            <v>3</v>
          </cell>
        </row>
        <row r="75">
          <cell r="A75" t="str">
            <v>Rangpur</v>
          </cell>
          <cell r="B75">
            <v>5</v>
          </cell>
        </row>
        <row r="76">
          <cell r="A76" t="str">
            <v>Savar</v>
          </cell>
          <cell r="B76">
            <v>4</v>
          </cell>
        </row>
        <row r="77">
          <cell r="A77" t="str">
            <v>Sylhet</v>
          </cell>
          <cell r="B77">
            <v>1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3"/>
  <sheetViews>
    <sheetView tabSelected="1" workbookViewId="0">
      <pane ySplit="1" topLeftCell="A2" activePane="bottomLeft" state="frozen"/>
      <selection pane="bottomLeft" activeCell="B2" sqref="B2"/>
    </sheetView>
  </sheetViews>
  <sheetFormatPr defaultRowHeight="15" x14ac:dyDescent="0.35"/>
  <cols>
    <col min="1" max="1" width="8.88671875" style="2"/>
    <col min="2" max="2" width="29.88671875" style="2" bestFit="1" customWidth="1"/>
    <col min="3" max="3" width="23.109375" style="2" bestFit="1" customWidth="1"/>
    <col min="4" max="5" width="23.109375" style="2" customWidth="1"/>
    <col min="6" max="6" width="14.5546875" style="9" bestFit="1" customWidth="1"/>
  </cols>
  <sheetData>
    <row r="1" spans="1:6" ht="35.4" customHeight="1" x14ac:dyDescent="0.3">
      <c r="A1" s="7"/>
      <c r="B1" s="7" t="s">
        <v>429</v>
      </c>
      <c r="C1" s="7" t="s">
        <v>432</v>
      </c>
      <c r="D1" s="7" t="s">
        <v>455</v>
      </c>
      <c r="E1" s="7" t="s">
        <v>457</v>
      </c>
      <c r="F1" s="8" t="s">
        <v>430</v>
      </c>
    </row>
    <row r="2" spans="1:6" x14ac:dyDescent="0.35">
      <c r="A2" s="11" t="s">
        <v>421</v>
      </c>
      <c r="B2" s="12" t="s">
        <v>456</v>
      </c>
      <c r="C2" s="13">
        <v>228</v>
      </c>
      <c r="D2" s="13">
        <f>SUM(D3:D36)</f>
        <v>91</v>
      </c>
      <c r="E2" s="13">
        <f>SUM(E3:E36)</f>
        <v>319</v>
      </c>
      <c r="F2" s="14">
        <v>1</v>
      </c>
    </row>
    <row r="3" spans="1:6" x14ac:dyDescent="0.35">
      <c r="B3" s="4" t="s">
        <v>433</v>
      </c>
      <c r="C3" s="3">
        <v>6</v>
      </c>
      <c r="D3" s="3">
        <f>VLOOKUP(B3,[1]Sheet1!$A$5:$B$27,2,FALSE)</f>
        <v>7</v>
      </c>
      <c r="E3" s="3">
        <f>D3+C3</f>
        <v>13</v>
      </c>
      <c r="F3" s="9">
        <f>C3/319</f>
        <v>1.8808777429467086E-2</v>
      </c>
    </row>
    <row r="4" spans="1:6" x14ac:dyDescent="0.35">
      <c r="B4" s="4" t="s">
        <v>34</v>
      </c>
      <c r="C4" s="3">
        <v>2</v>
      </c>
      <c r="D4" s="3">
        <f>VLOOKUP(B4,[1]Sheet1!$A$5:$B$27,2,FALSE)</f>
        <v>5</v>
      </c>
      <c r="E4" s="3">
        <f t="shared" ref="E4:E67" si="0">D4+C4</f>
        <v>7</v>
      </c>
      <c r="F4" s="9">
        <f t="shared" ref="F4:F36" si="1">C4/319</f>
        <v>6.269592476489028E-3</v>
      </c>
    </row>
    <row r="5" spans="1:6" x14ac:dyDescent="0.35">
      <c r="B5" s="4" t="s">
        <v>434</v>
      </c>
      <c r="C5" s="3">
        <v>1</v>
      </c>
      <c r="D5" s="3">
        <v>0</v>
      </c>
      <c r="E5" s="3">
        <f t="shared" si="0"/>
        <v>1</v>
      </c>
      <c r="F5" s="9">
        <f t="shared" si="1"/>
        <v>3.134796238244514E-3</v>
      </c>
    </row>
    <row r="6" spans="1:6" x14ac:dyDescent="0.35">
      <c r="B6" s="4" t="s">
        <v>435</v>
      </c>
      <c r="C6" s="3">
        <v>2</v>
      </c>
      <c r="D6" s="3">
        <f>VLOOKUP(B6,[1]Sheet1!$A$5:$B$27,2,FALSE)</f>
        <v>4</v>
      </c>
      <c r="E6" s="3">
        <f t="shared" si="0"/>
        <v>6</v>
      </c>
      <c r="F6" s="9">
        <f t="shared" si="1"/>
        <v>6.269592476489028E-3</v>
      </c>
    </row>
    <row r="7" spans="1:6" x14ac:dyDescent="0.35">
      <c r="B7" s="4" t="s">
        <v>0</v>
      </c>
      <c r="C7" s="3">
        <v>16</v>
      </c>
      <c r="D7" s="3">
        <f>VLOOKUP(B7,[1]Sheet1!$A$5:$B$27,2,FALSE)</f>
        <v>3</v>
      </c>
      <c r="E7" s="3">
        <f t="shared" si="0"/>
        <v>19</v>
      </c>
      <c r="F7" s="9">
        <f t="shared" si="1"/>
        <v>5.0156739811912224E-2</v>
      </c>
    </row>
    <row r="8" spans="1:6" x14ac:dyDescent="0.35">
      <c r="B8" s="4" t="s">
        <v>436</v>
      </c>
      <c r="C8" s="3">
        <v>3</v>
      </c>
      <c r="D8" s="3">
        <v>0</v>
      </c>
      <c r="E8" s="3">
        <f t="shared" si="0"/>
        <v>3</v>
      </c>
      <c r="F8" s="9">
        <f t="shared" si="1"/>
        <v>9.4043887147335428E-3</v>
      </c>
    </row>
    <row r="9" spans="1:6" x14ac:dyDescent="0.35">
      <c r="B9" s="4" t="s">
        <v>437</v>
      </c>
      <c r="C9" s="3">
        <v>12</v>
      </c>
      <c r="D9" s="3">
        <v>0</v>
      </c>
      <c r="E9" s="3">
        <f t="shared" si="0"/>
        <v>12</v>
      </c>
      <c r="F9" s="9">
        <f t="shared" si="1"/>
        <v>3.7617554858934171E-2</v>
      </c>
    </row>
    <row r="10" spans="1:6" x14ac:dyDescent="0.35">
      <c r="B10" s="4" t="s">
        <v>20</v>
      </c>
      <c r="C10" s="3">
        <v>7</v>
      </c>
      <c r="D10" s="3">
        <f>VLOOKUP(B10,[1]Sheet1!$A$5:$B$27,2,FALSE)</f>
        <v>11</v>
      </c>
      <c r="E10" s="3">
        <f t="shared" si="0"/>
        <v>18</v>
      </c>
      <c r="F10" s="9">
        <f t="shared" si="1"/>
        <v>2.1943573667711599E-2</v>
      </c>
    </row>
    <row r="11" spans="1:6" x14ac:dyDescent="0.35">
      <c r="B11" s="4" t="s">
        <v>438</v>
      </c>
      <c r="C11" s="3">
        <v>15</v>
      </c>
      <c r="D11" s="3">
        <f>VLOOKUP(B11,[1]Sheet1!$A$5:$B$27,2,FALSE)</f>
        <v>4</v>
      </c>
      <c r="E11" s="3">
        <f t="shared" si="0"/>
        <v>19</v>
      </c>
      <c r="F11" s="9">
        <f t="shared" si="1"/>
        <v>4.7021943573667714E-2</v>
      </c>
    </row>
    <row r="12" spans="1:6" x14ac:dyDescent="0.35">
      <c r="B12" s="4" t="s">
        <v>439</v>
      </c>
      <c r="C12" s="3">
        <v>12</v>
      </c>
      <c r="D12" s="3">
        <f>VLOOKUP(B12,[1]Sheet1!$A$5:$B$27,2,FALSE)</f>
        <v>2</v>
      </c>
      <c r="E12" s="3">
        <f t="shared" si="0"/>
        <v>14</v>
      </c>
      <c r="F12" s="9">
        <f t="shared" si="1"/>
        <v>3.7617554858934171E-2</v>
      </c>
    </row>
    <row r="13" spans="1:6" x14ac:dyDescent="0.35">
      <c r="B13" s="4" t="s">
        <v>15</v>
      </c>
      <c r="C13" s="3">
        <v>11</v>
      </c>
      <c r="D13" s="3">
        <v>0</v>
      </c>
      <c r="E13" s="3">
        <f t="shared" si="0"/>
        <v>11</v>
      </c>
      <c r="F13" s="9">
        <f t="shared" si="1"/>
        <v>3.4482758620689655E-2</v>
      </c>
    </row>
    <row r="14" spans="1:6" x14ac:dyDescent="0.35">
      <c r="B14" s="4" t="s">
        <v>440</v>
      </c>
      <c r="C14" s="3">
        <v>6</v>
      </c>
      <c r="D14" s="3">
        <v>0</v>
      </c>
      <c r="E14" s="3">
        <f t="shared" si="0"/>
        <v>6</v>
      </c>
      <c r="F14" s="9">
        <f t="shared" si="1"/>
        <v>1.8808777429467086E-2</v>
      </c>
    </row>
    <row r="15" spans="1:6" x14ac:dyDescent="0.35">
      <c r="B15" s="4" t="s">
        <v>1</v>
      </c>
      <c r="C15" s="3">
        <v>3</v>
      </c>
      <c r="D15" s="3">
        <f>VLOOKUP(B15,[1]Sheet1!$A$5:$B$27,2,FALSE)</f>
        <v>2</v>
      </c>
      <c r="E15" s="3">
        <f t="shared" si="0"/>
        <v>5</v>
      </c>
      <c r="F15" s="9">
        <f t="shared" si="1"/>
        <v>9.4043887147335428E-3</v>
      </c>
    </row>
    <row r="16" spans="1:6" x14ac:dyDescent="0.35">
      <c r="B16" s="4" t="s">
        <v>441</v>
      </c>
      <c r="C16" s="3">
        <v>11</v>
      </c>
      <c r="D16" s="3">
        <f>VLOOKUP(B16,[1]Sheet1!$A$5:$B$27,2,FALSE)</f>
        <v>3</v>
      </c>
      <c r="E16" s="3">
        <f t="shared" si="0"/>
        <v>14</v>
      </c>
      <c r="F16" s="9">
        <f t="shared" si="1"/>
        <v>3.4482758620689655E-2</v>
      </c>
    </row>
    <row r="17" spans="2:6" x14ac:dyDescent="0.35">
      <c r="B17" s="4" t="s">
        <v>442</v>
      </c>
      <c r="C17" s="3">
        <v>4</v>
      </c>
      <c r="D17" s="3">
        <f>VLOOKUP(B17,[1]Sheet1!$A$5:$B$27,2,FALSE)</f>
        <v>6</v>
      </c>
      <c r="E17" s="3">
        <f t="shared" si="0"/>
        <v>10</v>
      </c>
      <c r="F17" s="9">
        <f t="shared" si="1"/>
        <v>1.2539184952978056E-2</v>
      </c>
    </row>
    <row r="18" spans="2:6" x14ac:dyDescent="0.35">
      <c r="B18" s="4" t="s">
        <v>443</v>
      </c>
      <c r="C18" s="3">
        <v>12</v>
      </c>
      <c r="D18" s="3">
        <f>VLOOKUP(B18,[1]Sheet1!$A$5:$B$27,2,FALSE)</f>
        <v>5</v>
      </c>
      <c r="E18" s="3">
        <f t="shared" si="0"/>
        <v>17</v>
      </c>
      <c r="F18" s="9">
        <f t="shared" si="1"/>
        <v>3.7617554858934171E-2</v>
      </c>
    </row>
    <row r="19" spans="2:6" x14ac:dyDescent="0.35">
      <c r="B19" s="4" t="s">
        <v>31</v>
      </c>
      <c r="C19" s="3">
        <v>5</v>
      </c>
      <c r="D19" s="3">
        <f>VLOOKUP(B19,[1]Sheet1!$A$5:$B$27,2,FALSE)</f>
        <v>10</v>
      </c>
      <c r="E19" s="3">
        <f t="shared" si="0"/>
        <v>15</v>
      </c>
      <c r="F19" s="9">
        <f t="shared" si="1"/>
        <v>1.5673981191222569E-2</v>
      </c>
    </row>
    <row r="20" spans="2:6" x14ac:dyDescent="0.35">
      <c r="B20" s="4" t="s">
        <v>444</v>
      </c>
      <c r="C20" s="3">
        <v>2</v>
      </c>
      <c r="D20" s="3">
        <f>VLOOKUP(B20,[1]Sheet1!$A$5:$B$27,2,FALSE)</f>
        <v>2</v>
      </c>
      <c r="E20" s="3">
        <f t="shared" si="0"/>
        <v>4</v>
      </c>
      <c r="F20" s="9">
        <f t="shared" si="1"/>
        <v>6.269592476489028E-3</v>
      </c>
    </row>
    <row r="21" spans="2:6" x14ac:dyDescent="0.35">
      <c r="B21" s="4" t="s">
        <v>2</v>
      </c>
      <c r="C21" s="3">
        <v>4</v>
      </c>
      <c r="D21" s="3">
        <v>0</v>
      </c>
      <c r="E21" s="3">
        <f t="shared" si="0"/>
        <v>4</v>
      </c>
      <c r="F21" s="9">
        <f t="shared" si="1"/>
        <v>1.2539184952978056E-2</v>
      </c>
    </row>
    <row r="22" spans="2:6" x14ac:dyDescent="0.35">
      <c r="B22" s="4" t="s">
        <v>54</v>
      </c>
      <c r="C22" s="3">
        <v>8</v>
      </c>
      <c r="D22" s="3">
        <f>VLOOKUP(B22,[1]Sheet1!$A$5:$B$27,2,FALSE)</f>
        <v>2</v>
      </c>
      <c r="E22" s="3">
        <f t="shared" si="0"/>
        <v>10</v>
      </c>
      <c r="F22" s="9">
        <f t="shared" si="1"/>
        <v>2.5078369905956112E-2</v>
      </c>
    </row>
    <row r="23" spans="2:6" x14ac:dyDescent="0.35">
      <c r="B23" s="4" t="s">
        <v>445</v>
      </c>
      <c r="C23" s="3">
        <v>1</v>
      </c>
      <c r="D23" s="3">
        <f>VLOOKUP(B23,[1]Sheet1!$A$5:$B$27,2,FALSE)</f>
        <v>5</v>
      </c>
      <c r="E23" s="3">
        <f t="shared" si="0"/>
        <v>6</v>
      </c>
      <c r="F23" s="9">
        <f t="shared" si="1"/>
        <v>3.134796238244514E-3</v>
      </c>
    </row>
    <row r="24" spans="2:6" x14ac:dyDescent="0.35">
      <c r="B24" s="4" t="s">
        <v>30</v>
      </c>
      <c r="C24" s="3">
        <v>20</v>
      </c>
      <c r="D24" s="3">
        <f>VLOOKUP(B24,[1]Sheet1!$A$5:$B$27,2,FALSE)</f>
        <v>1</v>
      </c>
      <c r="E24" s="3">
        <f t="shared" si="0"/>
        <v>21</v>
      </c>
      <c r="F24" s="9">
        <f t="shared" si="1"/>
        <v>6.2695924764890276E-2</v>
      </c>
    </row>
    <row r="25" spans="2:6" x14ac:dyDescent="0.35">
      <c r="B25" s="4" t="s">
        <v>446</v>
      </c>
      <c r="C25" s="3">
        <v>8</v>
      </c>
      <c r="D25" s="3">
        <f>VLOOKUP(B25,[1]Sheet1!$A$5:$B$27,2,FALSE)</f>
        <v>3</v>
      </c>
      <c r="E25" s="3">
        <f t="shared" si="0"/>
        <v>11</v>
      </c>
      <c r="F25" s="9">
        <f t="shared" si="1"/>
        <v>2.5078369905956112E-2</v>
      </c>
    </row>
    <row r="26" spans="2:6" x14ac:dyDescent="0.35">
      <c r="B26" s="4" t="s">
        <v>447</v>
      </c>
      <c r="C26" s="3">
        <v>3</v>
      </c>
      <c r="D26" s="3">
        <v>0</v>
      </c>
      <c r="E26" s="3">
        <f t="shared" si="0"/>
        <v>3</v>
      </c>
      <c r="F26" s="9">
        <f t="shared" si="1"/>
        <v>9.4043887147335428E-3</v>
      </c>
    </row>
    <row r="27" spans="2:6" x14ac:dyDescent="0.35">
      <c r="B27" s="4" t="s">
        <v>448</v>
      </c>
      <c r="C27" s="3">
        <v>2</v>
      </c>
      <c r="D27" s="3">
        <f>VLOOKUP(B27,[1]Sheet1!$A$5:$B$27,2,FALSE)</f>
        <v>5</v>
      </c>
      <c r="E27" s="3">
        <f t="shared" si="0"/>
        <v>7</v>
      </c>
      <c r="F27" s="9">
        <f t="shared" si="1"/>
        <v>6.269592476489028E-3</v>
      </c>
    </row>
    <row r="28" spans="2:6" x14ac:dyDescent="0.35">
      <c r="B28" s="4" t="s">
        <v>18</v>
      </c>
      <c r="C28" s="3">
        <v>9</v>
      </c>
      <c r="D28" s="3">
        <f>VLOOKUP(B28,[1]Sheet1!$A$5:$B$27,2,FALSE)</f>
        <v>1</v>
      </c>
      <c r="E28" s="3">
        <f t="shared" si="0"/>
        <v>10</v>
      </c>
      <c r="F28" s="9">
        <f t="shared" si="1"/>
        <v>2.8213166144200628E-2</v>
      </c>
    </row>
    <row r="29" spans="2:6" x14ac:dyDescent="0.35">
      <c r="B29" s="4" t="s">
        <v>3</v>
      </c>
      <c r="C29" s="3">
        <v>3</v>
      </c>
      <c r="D29" s="3">
        <v>0</v>
      </c>
      <c r="E29" s="3">
        <f t="shared" si="0"/>
        <v>3</v>
      </c>
      <c r="F29" s="9">
        <f t="shared" si="1"/>
        <v>9.4043887147335428E-3</v>
      </c>
    </row>
    <row r="30" spans="2:6" x14ac:dyDescent="0.35">
      <c r="B30" s="4" t="s">
        <v>449</v>
      </c>
      <c r="C30" s="3">
        <v>2</v>
      </c>
      <c r="D30" s="3">
        <v>0</v>
      </c>
      <c r="E30" s="3">
        <f t="shared" si="0"/>
        <v>2</v>
      </c>
      <c r="F30" s="9">
        <f t="shared" si="1"/>
        <v>6.269592476489028E-3</v>
      </c>
    </row>
    <row r="31" spans="2:6" x14ac:dyDescent="0.35">
      <c r="B31" s="4" t="s">
        <v>4</v>
      </c>
      <c r="C31" s="3">
        <v>1</v>
      </c>
      <c r="D31" s="3">
        <f>VLOOKUP(B31,[1]Sheet1!$A$5:$B$27,2,FALSE)</f>
        <v>7</v>
      </c>
      <c r="E31" s="3">
        <f t="shared" si="0"/>
        <v>8</v>
      </c>
      <c r="F31" s="9">
        <f t="shared" si="1"/>
        <v>3.134796238244514E-3</v>
      </c>
    </row>
    <row r="32" spans="2:6" x14ac:dyDescent="0.35">
      <c r="B32" s="4" t="s">
        <v>6</v>
      </c>
      <c r="C32" s="3">
        <v>16</v>
      </c>
      <c r="D32" s="3">
        <f>VLOOKUP(B32,[1]Sheet1!$A$5:$B$27,2,FALSE)</f>
        <v>1</v>
      </c>
      <c r="E32" s="3">
        <f t="shared" si="0"/>
        <v>17</v>
      </c>
      <c r="F32" s="9">
        <f t="shared" si="1"/>
        <v>5.0156739811912224E-2</v>
      </c>
    </row>
    <row r="33" spans="1:6" x14ac:dyDescent="0.35">
      <c r="B33" s="4" t="s">
        <v>450</v>
      </c>
      <c r="C33" s="3">
        <v>6</v>
      </c>
      <c r="D33" s="3">
        <f>VLOOKUP(B33,[1]Sheet1!$A$5:$B$27,2,FALSE)</f>
        <v>2</v>
      </c>
      <c r="E33" s="3">
        <f t="shared" si="0"/>
        <v>8</v>
      </c>
      <c r="F33" s="9">
        <f t="shared" si="1"/>
        <v>1.8808777429467086E-2</v>
      </c>
    </row>
    <row r="34" spans="1:6" x14ac:dyDescent="0.35">
      <c r="B34" s="4" t="s">
        <v>451</v>
      </c>
      <c r="C34" s="3">
        <v>2</v>
      </c>
      <c r="D34" s="3">
        <v>0</v>
      </c>
      <c r="E34" s="3">
        <f t="shared" si="0"/>
        <v>2</v>
      </c>
      <c r="F34" s="9">
        <f t="shared" si="1"/>
        <v>6.269592476489028E-3</v>
      </c>
    </row>
    <row r="35" spans="1:6" x14ac:dyDescent="0.35">
      <c r="B35" s="4" t="s">
        <v>11</v>
      </c>
      <c r="C35" s="3">
        <v>7</v>
      </c>
      <c r="D35" s="3">
        <v>0</v>
      </c>
      <c r="E35" s="3">
        <f t="shared" si="0"/>
        <v>7</v>
      </c>
      <c r="F35" s="9">
        <f t="shared" si="1"/>
        <v>2.1943573667711599E-2</v>
      </c>
    </row>
    <row r="36" spans="1:6" x14ac:dyDescent="0.35">
      <c r="B36" s="4" t="s">
        <v>452</v>
      </c>
      <c r="C36" s="3">
        <v>6</v>
      </c>
      <c r="D36" s="3">
        <v>0</v>
      </c>
      <c r="E36" s="3">
        <f t="shared" si="0"/>
        <v>6</v>
      </c>
      <c r="F36" s="9">
        <f t="shared" si="1"/>
        <v>1.8808777429467086E-2</v>
      </c>
    </row>
    <row r="37" spans="1:6" x14ac:dyDescent="0.35">
      <c r="A37" s="15" t="s">
        <v>422</v>
      </c>
      <c r="B37" s="12" t="s">
        <v>456</v>
      </c>
      <c r="C37" s="13">
        <f>SUM(C38:C71)</f>
        <v>164</v>
      </c>
      <c r="D37" s="13">
        <f t="shared" ref="D37:E37" si="2">SUM(D38:D71)</f>
        <v>67</v>
      </c>
      <c r="E37" s="13">
        <f t="shared" si="2"/>
        <v>231</v>
      </c>
      <c r="F37" s="14">
        <v>1</v>
      </c>
    </row>
    <row r="38" spans="1:6" x14ac:dyDescent="0.35">
      <c r="B38" s="4" t="s">
        <v>433</v>
      </c>
      <c r="C38" s="3">
        <v>9</v>
      </c>
      <c r="D38" s="3">
        <f>VLOOKUP(B38,[2]Sheet1!$A$29:$B$52,2,FALSE)</f>
        <v>2</v>
      </c>
      <c r="E38" s="3">
        <f t="shared" si="0"/>
        <v>11</v>
      </c>
      <c r="F38" s="9">
        <f>E38/231</f>
        <v>4.7619047619047616E-2</v>
      </c>
    </row>
    <row r="39" spans="1:6" x14ac:dyDescent="0.35">
      <c r="B39" s="4" t="s">
        <v>34</v>
      </c>
      <c r="C39" s="3">
        <v>1</v>
      </c>
      <c r="D39" s="3">
        <f>VLOOKUP(B39,[2]Sheet1!$A$29:$B$52,2,FALSE)</f>
        <v>2</v>
      </c>
      <c r="E39" s="3">
        <f t="shared" si="0"/>
        <v>3</v>
      </c>
      <c r="F39" s="9">
        <f t="shared" ref="F39:F71" si="3">E39/231</f>
        <v>1.2987012987012988E-2</v>
      </c>
    </row>
    <row r="40" spans="1:6" x14ac:dyDescent="0.35">
      <c r="B40" s="4" t="s">
        <v>434</v>
      </c>
      <c r="C40" s="3">
        <v>2</v>
      </c>
      <c r="D40" s="3">
        <v>0</v>
      </c>
      <c r="E40" s="3">
        <f t="shared" si="0"/>
        <v>2</v>
      </c>
      <c r="F40" s="9">
        <f t="shared" si="3"/>
        <v>8.658008658008658E-3</v>
      </c>
    </row>
    <row r="41" spans="1:6" x14ac:dyDescent="0.35">
      <c r="B41" s="4" t="s">
        <v>435</v>
      </c>
      <c r="C41" s="3">
        <v>2</v>
      </c>
      <c r="D41" s="3">
        <f>VLOOKUP(B41,[2]Sheet1!$A$29:$B$52,2,FALSE)</f>
        <v>2</v>
      </c>
      <c r="E41" s="3">
        <f t="shared" si="0"/>
        <v>4</v>
      </c>
      <c r="F41" s="9">
        <f t="shared" si="3"/>
        <v>1.7316017316017316E-2</v>
      </c>
    </row>
    <row r="42" spans="1:6" x14ac:dyDescent="0.35">
      <c r="B42" s="4" t="s">
        <v>0</v>
      </c>
      <c r="C42" s="3">
        <v>7</v>
      </c>
      <c r="D42" s="3">
        <f>VLOOKUP(B42,[2]Sheet1!$A$29:$B$52,2,FALSE)</f>
        <v>1</v>
      </c>
      <c r="E42" s="3">
        <f t="shared" si="0"/>
        <v>8</v>
      </c>
      <c r="F42" s="9">
        <f t="shared" si="3"/>
        <v>3.4632034632034632E-2</v>
      </c>
    </row>
    <row r="43" spans="1:6" x14ac:dyDescent="0.35">
      <c r="B43" s="4" t="s">
        <v>437</v>
      </c>
      <c r="C43" s="3">
        <v>10</v>
      </c>
      <c r="D43" s="3">
        <v>0</v>
      </c>
      <c r="E43" s="3">
        <f t="shared" si="0"/>
        <v>10</v>
      </c>
      <c r="F43" s="9">
        <f t="shared" si="3"/>
        <v>4.3290043290043288E-2</v>
      </c>
    </row>
    <row r="44" spans="1:6" x14ac:dyDescent="0.35">
      <c r="B44" s="4" t="s">
        <v>20</v>
      </c>
      <c r="C44" s="3">
        <v>5</v>
      </c>
      <c r="D44" s="3">
        <f>VLOOKUP(B44,[2]Sheet1!$A$29:$B$52,2,FALSE)</f>
        <v>5</v>
      </c>
      <c r="E44" s="3">
        <f t="shared" si="0"/>
        <v>10</v>
      </c>
      <c r="F44" s="9">
        <f t="shared" si="3"/>
        <v>4.3290043290043288E-2</v>
      </c>
    </row>
    <row r="45" spans="1:6" x14ac:dyDescent="0.35">
      <c r="B45" s="4" t="s">
        <v>438</v>
      </c>
      <c r="C45" s="3">
        <v>14</v>
      </c>
      <c r="D45" s="3">
        <f>VLOOKUP(B45,[2]Sheet1!$A$29:$B$52,2,FALSE)</f>
        <v>5</v>
      </c>
      <c r="E45" s="3">
        <f t="shared" si="0"/>
        <v>19</v>
      </c>
      <c r="F45" s="9">
        <f t="shared" si="3"/>
        <v>8.2251082251082255E-2</v>
      </c>
    </row>
    <row r="46" spans="1:6" x14ac:dyDescent="0.35">
      <c r="B46" s="4" t="s">
        <v>52</v>
      </c>
      <c r="C46" s="3">
        <v>1</v>
      </c>
      <c r="D46" s="3">
        <f>VLOOKUP(B46,[2]Sheet1!$A$29:$B$52,2,FALSE)</f>
        <v>3</v>
      </c>
      <c r="E46" s="3">
        <f t="shared" si="0"/>
        <v>4</v>
      </c>
      <c r="F46" s="9">
        <f t="shared" si="3"/>
        <v>1.7316017316017316E-2</v>
      </c>
    </row>
    <row r="47" spans="1:6" x14ac:dyDescent="0.35">
      <c r="B47" s="4" t="s">
        <v>439</v>
      </c>
      <c r="C47" s="3">
        <v>6</v>
      </c>
      <c r="D47" s="3">
        <f>VLOOKUP(B47,[2]Sheet1!$A$29:$B$52,2,FALSE)</f>
        <v>3</v>
      </c>
      <c r="E47" s="3">
        <f t="shared" si="0"/>
        <v>9</v>
      </c>
      <c r="F47" s="9">
        <f t="shared" si="3"/>
        <v>3.896103896103896E-2</v>
      </c>
    </row>
    <row r="48" spans="1:6" x14ac:dyDescent="0.35">
      <c r="B48" s="4" t="s">
        <v>15</v>
      </c>
      <c r="C48" s="3">
        <v>8</v>
      </c>
      <c r="D48" s="3">
        <f>VLOOKUP(B48,[2]Sheet1!$A$29:$B$52,2,FALSE)</f>
        <v>1</v>
      </c>
      <c r="E48" s="3">
        <f t="shared" si="0"/>
        <v>9</v>
      </c>
      <c r="F48" s="9">
        <f t="shared" si="3"/>
        <v>3.896103896103896E-2</v>
      </c>
    </row>
    <row r="49" spans="2:6" x14ac:dyDescent="0.35">
      <c r="B49" s="4" t="s">
        <v>440</v>
      </c>
      <c r="C49" s="3">
        <v>2</v>
      </c>
      <c r="D49" s="3">
        <v>0</v>
      </c>
      <c r="E49" s="3">
        <f t="shared" si="0"/>
        <v>2</v>
      </c>
      <c r="F49" s="9">
        <f t="shared" si="3"/>
        <v>8.658008658008658E-3</v>
      </c>
    </row>
    <row r="50" spans="2:6" x14ac:dyDescent="0.35">
      <c r="B50" s="4" t="s">
        <v>1</v>
      </c>
      <c r="C50" s="3">
        <v>3</v>
      </c>
      <c r="D50" s="3">
        <f>VLOOKUP(B50,[2]Sheet1!$A$29:$B$52,2,FALSE)</f>
        <v>3</v>
      </c>
      <c r="E50" s="3">
        <f t="shared" si="0"/>
        <v>6</v>
      </c>
      <c r="F50" s="9">
        <f t="shared" si="3"/>
        <v>2.5974025974025976E-2</v>
      </c>
    </row>
    <row r="51" spans="2:6" x14ac:dyDescent="0.35">
      <c r="B51" s="4" t="s">
        <v>441</v>
      </c>
      <c r="C51" s="3">
        <v>6</v>
      </c>
      <c r="D51" s="3">
        <f>VLOOKUP(B51,[2]Sheet1!$A$29:$B$52,2,FALSE)</f>
        <v>2</v>
      </c>
      <c r="E51" s="3">
        <f t="shared" si="0"/>
        <v>8</v>
      </c>
      <c r="F51" s="9">
        <f t="shared" si="3"/>
        <v>3.4632034632034632E-2</v>
      </c>
    </row>
    <row r="52" spans="2:6" x14ac:dyDescent="0.35">
      <c r="B52" s="4" t="s">
        <v>442</v>
      </c>
      <c r="C52" s="3">
        <v>2</v>
      </c>
      <c r="D52" s="3">
        <f>VLOOKUP(B52,[2]Sheet1!$A$29:$B$52,2,FALSE)</f>
        <v>2</v>
      </c>
      <c r="E52" s="3">
        <f t="shared" si="0"/>
        <v>4</v>
      </c>
      <c r="F52" s="9">
        <f t="shared" si="3"/>
        <v>1.7316017316017316E-2</v>
      </c>
    </row>
    <row r="53" spans="2:6" x14ac:dyDescent="0.35">
      <c r="B53" s="4" t="s">
        <v>443</v>
      </c>
      <c r="C53" s="3">
        <v>2</v>
      </c>
      <c r="D53" s="3">
        <f>VLOOKUP(B53,[2]Sheet1!$A$29:$B$52,2,FALSE)</f>
        <v>3</v>
      </c>
      <c r="E53" s="3">
        <f t="shared" si="0"/>
        <v>5</v>
      </c>
      <c r="F53" s="9">
        <f t="shared" si="3"/>
        <v>2.1645021645021644E-2</v>
      </c>
    </row>
    <row r="54" spans="2:6" x14ac:dyDescent="0.35">
      <c r="B54" s="4" t="s">
        <v>31</v>
      </c>
      <c r="C54" s="3">
        <v>4</v>
      </c>
      <c r="D54" s="3">
        <f>VLOOKUP(B54,[2]Sheet1!$A$29:$B$52,2,FALSE)</f>
        <v>8</v>
      </c>
      <c r="E54" s="3">
        <f t="shared" si="0"/>
        <v>12</v>
      </c>
      <c r="F54" s="9">
        <f t="shared" si="3"/>
        <v>5.1948051948051951E-2</v>
      </c>
    </row>
    <row r="55" spans="2:6" x14ac:dyDescent="0.35">
      <c r="B55" s="4" t="s">
        <v>2</v>
      </c>
      <c r="C55" s="3">
        <v>3</v>
      </c>
      <c r="D55" s="3">
        <v>0</v>
      </c>
      <c r="E55" s="3">
        <f t="shared" si="0"/>
        <v>3</v>
      </c>
      <c r="F55" s="9">
        <f t="shared" si="3"/>
        <v>1.2987012987012988E-2</v>
      </c>
    </row>
    <row r="56" spans="2:6" x14ac:dyDescent="0.35">
      <c r="B56" s="4" t="s">
        <v>54</v>
      </c>
      <c r="C56" s="3">
        <v>4</v>
      </c>
      <c r="D56" s="3">
        <f>VLOOKUP(B56,[2]Sheet1!$A$29:$B$52,2,FALSE)</f>
        <v>1</v>
      </c>
      <c r="E56" s="3">
        <f t="shared" si="0"/>
        <v>5</v>
      </c>
      <c r="F56" s="9">
        <f t="shared" si="3"/>
        <v>2.1645021645021644E-2</v>
      </c>
    </row>
    <row r="57" spans="2:6" x14ac:dyDescent="0.35">
      <c r="B57" s="4" t="s">
        <v>30</v>
      </c>
      <c r="C57" s="3">
        <v>6</v>
      </c>
      <c r="D57" s="3">
        <f>VLOOKUP(B57,[2]Sheet1!$A$29:$B$52,2,FALSE)</f>
        <v>3</v>
      </c>
      <c r="E57" s="3">
        <f t="shared" si="0"/>
        <v>9</v>
      </c>
      <c r="F57" s="9">
        <f t="shared" si="3"/>
        <v>3.896103896103896E-2</v>
      </c>
    </row>
    <row r="58" spans="2:6" x14ac:dyDescent="0.35">
      <c r="B58" s="4" t="s">
        <v>446</v>
      </c>
      <c r="C58" s="3">
        <v>6</v>
      </c>
      <c r="D58" s="3">
        <f>VLOOKUP(B58,[2]Sheet1!$A$29:$B$52,2,FALSE)</f>
        <v>6</v>
      </c>
      <c r="E58" s="3">
        <f t="shared" si="0"/>
        <v>12</v>
      </c>
      <c r="F58" s="9">
        <f t="shared" si="3"/>
        <v>5.1948051948051951E-2</v>
      </c>
    </row>
    <row r="59" spans="2:6" x14ac:dyDescent="0.35">
      <c r="B59" s="4" t="s">
        <v>447</v>
      </c>
      <c r="C59" s="3">
        <v>4</v>
      </c>
      <c r="D59" s="3">
        <v>0</v>
      </c>
      <c r="E59" s="3">
        <f t="shared" si="0"/>
        <v>4</v>
      </c>
      <c r="F59" s="9">
        <f t="shared" si="3"/>
        <v>1.7316017316017316E-2</v>
      </c>
    </row>
    <row r="60" spans="2:6" x14ac:dyDescent="0.35">
      <c r="B60" s="4" t="s">
        <v>448</v>
      </c>
      <c r="C60" s="3">
        <v>3</v>
      </c>
      <c r="D60" s="3">
        <f>VLOOKUP(B60,[2]Sheet1!$A$29:$B$52,2,FALSE)</f>
        <v>7</v>
      </c>
      <c r="E60" s="3">
        <f t="shared" si="0"/>
        <v>10</v>
      </c>
      <c r="F60" s="9">
        <f t="shared" si="3"/>
        <v>4.3290043290043288E-2</v>
      </c>
    </row>
    <row r="61" spans="2:6" x14ac:dyDescent="0.35">
      <c r="B61" s="4" t="s">
        <v>18</v>
      </c>
      <c r="C61" s="3">
        <v>5</v>
      </c>
      <c r="D61" s="3">
        <v>0</v>
      </c>
      <c r="E61" s="3">
        <f t="shared" si="0"/>
        <v>5</v>
      </c>
      <c r="F61" s="9">
        <f t="shared" si="3"/>
        <v>2.1645021645021644E-2</v>
      </c>
    </row>
    <row r="62" spans="2:6" x14ac:dyDescent="0.35">
      <c r="B62" s="4" t="s">
        <v>3</v>
      </c>
      <c r="C62" s="3">
        <v>4</v>
      </c>
      <c r="D62" s="3">
        <f>VLOOKUP(B62,[2]Sheet1!$A$29:$B$52,2,FALSE)</f>
        <v>1</v>
      </c>
      <c r="E62" s="3">
        <f t="shared" si="0"/>
        <v>5</v>
      </c>
      <c r="F62" s="9">
        <f t="shared" si="3"/>
        <v>2.1645021645021644E-2</v>
      </c>
    </row>
    <row r="63" spans="2:6" x14ac:dyDescent="0.35">
      <c r="B63" s="4" t="s">
        <v>449</v>
      </c>
      <c r="C63" s="3">
        <v>3</v>
      </c>
      <c r="D63" s="3">
        <v>0</v>
      </c>
      <c r="E63" s="3">
        <f t="shared" si="0"/>
        <v>3</v>
      </c>
      <c r="F63" s="9">
        <f t="shared" si="3"/>
        <v>1.2987012987012988E-2</v>
      </c>
    </row>
    <row r="64" spans="2:6" x14ac:dyDescent="0.35">
      <c r="B64" s="4" t="s">
        <v>4</v>
      </c>
      <c r="C64" s="3">
        <v>2</v>
      </c>
      <c r="D64" s="3">
        <f>VLOOKUP(B64,[2]Sheet1!$A$29:$B$52,2,FALSE)</f>
        <v>1</v>
      </c>
      <c r="E64" s="3">
        <f t="shared" si="0"/>
        <v>3</v>
      </c>
      <c r="F64" s="9">
        <f t="shared" si="3"/>
        <v>1.2987012987012988E-2</v>
      </c>
    </row>
    <row r="65" spans="1:6" x14ac:dyDescent="0.35">
      <c r="B65" s="4" t="s">
        <v>6</v>
      </c>
      <c r="C65" s="3">
        <v>7</v>
      </c>
      <c r="D65" s="3">
        <f>VLOOKUP(B65,[2]Sheet1!$A$29:$B$52,2,FALSE)</f>
        <v>5</v>
      </c>
      <c r="E65" s="3">
        <f t="shared" si="0"/>
        <v>12</v>
      </c>
      <c r="F65" s="9">
        <f t="shared" si="3"/>
        <v>5.1948051948051951E-2</v>
      </c>
    </row>
    <row r="66" spans="1:6" x14ac:dyDescent="0.35">
      <c r="B66" s="4" t="s">
        <v>450</v>
      </c>
      <c r="C66" s="3">
        <v>2</v>
      </c>
      <c r="D66" s="3">
        <f>VLOOKUP(B66,[2]Sheet1!$A$29:$B$52,2,FALSE)</f>
        <v>1</v>
      </c>
      <c r="E66" s="3">
        <f t="shared" si="0"/>
        <v>3</v>
      </c>
      <c r="F66" s="9">
        <f t="shared" si="3"/>
        <v>1.2987012987012988E-2</v>
      </c>
    </row>
    <row r="67" spans="1:6" x14ac:dyDescent="0.35">
      <c r="B67" s="4" t="s">
        <v>451</v>
      </c>
      <c r="C67" s="3">
        <v>1</v>
      </c>
      <c r="D67" s="3">
        <v>0</v>
      </c>
      <c r="E67" s="3">
        <f t="shared" si="0"/>
        <v>1</v>
      </c>
      <c r="F67" s="9">
        <f t="shared" si="3"/>
        <v>4.329004329004329E-3</v>
      </c>
    </row>
    <row r="68" spans="1:6" x14ac:dyDescent="0.35">
      <c r="B68" s="4" t="s">
        <v>453</v>
      </c>
      <c r="C68" s="3">
        <v>11</v>
      </c>
      <c r="D68" s="3">
        <v>0</v>
      </c>
      <c r="E68" s="3">
        <f t="shared" ref="E68:E131" si="4">D68+C68</f>
        <v>11</v>
      </c>
      <c r="F68" s="9">
        <f t="shared" si="3"/>
        <v>4.7619047619047616E-2</v>
      </c>
    </row>
    <row r="69" spans="1:6" x14ac:dyDescent="0.35">
      <c r="B69" s="4" t="s">
        <v>11</v>
      </c>
      <c r="C69" s="3">
        <v>9</v>
      </c>
      <c r="D69" s="3">
        <v>0</v>
      </c>
      <c r="E69" s="3">
        <f t="shared" si="4"/>
        <v>9</v>
      </c>
      <c r="F69" s="9">
        <f t="shared" si="3"/>
        <v>3.896103896103896E-2</v>
      </c>
    </row>
    <row r="70" spans="1:6" x14ac:dyDescent="0.35">
      <c r="B70" s="4" t="s">
        <v>454</v>
      </c>
      <c r="C70" s="3">
        <v>2</v>
      </c>
      <c r="D70" s="3">
        <v>0</v>
      </c>
      <c r="E70" s="3">
        <f t="shared" si="4"/>
        <v>2</v>
      </c>
      <c r="F70" s="9">
        <f t="shared" si="3"/>
        <v>8.658008658008658E-3</v>
      </c>
    </row>
    <row r="71" spans="1:6" x14ac:dyDescent="0.35">
      <c r="B71" s="4" t="s">
        <v>452</v>
      </c>
      <c r="C71" s="3">
        <v>8</v>
      </c>
      <c r="D71" s="3">
        <v>0</v>
      </c>
      <c r="E71" s="3">
        <f t="shared" si="4"/>
        <v>8</v>
      </c>
      <c r="F71" s="9">
        <f t="shared" si="3"/>
        <v>3.4632034632034632E-2</v>
      </c>
    </row>
    <row r="72" spans="1:6" s="16" customFormat="1" x14ac:dyDescent="0.35">
      <c r="A72" s="15" t="s">
        <v>423</v>
      </c>
      <c r="B72" s="12" t="s">
        <v>456</v>
      </c>
      <c r="C72" s="13">
        <f>SUM(C73:C105)</f>
        <v>191</v>
      </c>
      <c r="D72" s="13">
        <f t="shared" ref="D72:E72" si="5">SUM(D73:D105)</f>
        <v>71</v>
      </c>
      <c r="E72" s="13">
        <f t="shared" si="5"/>
        <v>262</v>
      </c>
      <c r="F72" s="14">
        <v>1</v>
      </c>
    </row>
    <row r="73" spans="1:6" x14ac:dyDescent="0.35">
      <c r="B73" s="4" t="s">
        <v>433</v>
      </c>
      <c r="C73" s="3">
        <v>6</v>
      </c>
      <c r="D73" s="3">
        <f>VLOOKUP(B73,[3]Sheet1!$A$54:$B$77,2,FALSE)</f>
        <v>2</v>
      </c>
      <c r="E73" s="3">
        <f t="shared" si="4"/>
        <v>8</v>
      </c>
      <c r="F73" s="9">
        <f>E73/262</f>
        <v>3.0534351145038167E-2</v>
      </c>
    </row>
    <row r="74" spans="1:6" x14ac:dyDescent="0.35">
      <c r="B74" s="4" t="s">
        <v>34</v>
      </c>
      <c r="C74" s="3">
        <v>3</v>
      </c>
      <c r="D74" s="3">
        <f>VLOOKUP(B74,[3]Sheet1!$A$54:$B$77,2,FALSE)</f>
        <v>1</v>
      </c>
      <c r="E74" s="3">
        <f t="shared" si="4"/>
        <v>4</v>
      </c>
      <c r="F74" s="9">
        <f t="shared" ref="F74:F105" si="6">E74/262</f>
        <v>1.5267175572519083E-2</v>
      </c>
    </row>
    <row r="75" spans="1:6" x14ac:dyDescent="0.35">
      <c r="B75" s="4" t="s">
        <v>435</v>
      </c>
      <c r="C75" s="3">
        <v>2</v>
      </c>
      <c r="D75" s="3">
        <v>0</v>
      </c>
      <c r="E75" s="3">
        <f t="shared" si="4"/>
        <v>2</v>
      </c>
      <c r="F75" s="9">
        <f t="shared" si="6"/>
        <v>7.6335877862595417E-3</v>
      </c>
    </row>
    <row r="76" spans="1:6" x14ac:dyDescent="0.35">
      <c r="B76" s="4" t="s">
        <v>0</v>
      </c>
      <c r="C76" s="3">
        <v>13</v>
      </c>
      <c r="D76" s="3">
        <f>VLOOKUP(B76,[3]Sheet1!$A$54:$B$77,2,FALSE)</f>
        <v>1</v>
      </c>
      <c r="E76" s="3">
        <f t="shared" si="4"/>
        <v>14</v>
      </c>
      <c r="F76" s="9">
        <f t="shared" si="6"/>
        <v>5.3435114503816793E-2</v>
      </c>
    </row>
    <row r="77" spans="1:6" x14ac:dyDescent="0.35">
      <c r="B77" s="4" t="s">
        <v>436</v>
      </c>
      <c r="C77" s="3">
        <v>3</v>
      </c>
      <c r="D77" s="3">
        <v>0</v>
      </c>
      <c r="E77" s="3">
        <f t="shared" si="4"/>
        <v>3</v>
      </c>
      <c r="F77" s="9">
        <f t="shared" si="6"/>
        <v>1.1450381679389313E-2</v>
      </c>
    </row>
    <row r="78" spans="1:6" x14ac:dyDescent="0.35">
      <c r="B78" s="4" t="s">
        <v>437</v>
      </c>
      <c r="C78" s="3">
        <v>14</v>
      </c>
      <c r="D78" s="3">
        <f>VLOOKUP(B78,[3]Sheet1!$A$54:$B$77,2,FALSE)</f>
        <v>2</v>
      </c>
      <c r="E78" s="3">
        <f t="shared" si="4"/>
        <v>16</v>
      </c>
      <c r="F78" s="9">
        <f t="shared" si="6"/>
        <v>6.1068702290076333E-2</v>
      </c>
    </row>
    <row r="79" spans="1:6" x14ac:dyDescent="0.35">
      <c r="B79" s="4" t="s">
        <v>20</v>
      </c>
      <c r="C79" s="3">
        <v>9</v>
      </c>
      <c r="D79" s="3">
        <f>VLOOKUP(B79,[3]Sheet1!$A$54:$B$77,2,FALSE)</f>
        <v>16</v>
      </c>
      <c r="E79" s="3">
        <f t="shared" si="4"/>
        <v>25</v>
      </c>
      <c r="F79" s="9">
        <f t="shared" si="6"/>
        <v>9.5419847328244281E-2</v>
      </c>
    </row>
    <row r="80" spans="1:6" x14ac:dyDescent="0.35">
      <c r="B80" s="4" t="s">
        <v>438</v>
      </c>
      <c r="C80" s="3">
        <v>13</v>
      </c>
      <c r="D80" s="3">
        <f>VLOOKUP(B80,[3]Sheet1!$A$54:$B$77,2,FALSE)</f>
        <v>6</v>
      </c>
      <c r="E80" s="3">
        <f t="shared" si="4"/>
        <v>19</v>
      </c>
      <c r="F80" s="9">
        <f t="shared" si="6"/>
        <v>7.2519083969465645E-2</v>
      </c>
    </row>
    <row r="81" spans="2:6" x14ac:dyDescent="0.35">
      <c r="B81" s="4" t="s">
        <v>52</v>
      </c>
      <c r="C81" s="3">
        <v>1</v>
      </c>
      <c r="D81" s="3">
        <f>VLOOKUP(B81,[3]Sheet1!$A$54:$B$77,2,FALSE)</f>
        <v>3</v>
      </c>
      <c r="E81" s="3">
        <f t="shared" si="4"/>
        <v>4</v>
      </c>
      <c r="F81" s="9">
        <f t="shared" si="6"/>
        <v>1.5267175572519083E-2</v>
      </c>
    </row>
    <row r="82" spans="2:6" x14ac:dyDescent="0.35">
      <c r="B82" s="4" t="s">
        <v>439</v>
      </c>
      <c r="C82" s="3">
        <v>6</v>
      </c>
      <c r="D82" s="3">
        <f>VLOOKUP(B82,[3]Sheet1!$A$54:$B$77,2,FALSE)</f>
        <v>1</v>
      </c>
      <c r="E82" s="3">
        <f t="shared" si="4"/>
        <v>7</v>
      </c>
      <c r="F82" s="9">
        <f t="shared" si="6"/>
        <v>2.6717557251908396E-2</v>
      </c>
    </row>
    <row r="83" spans="2:6" x14ac:dyDescent="0.35">
      <c r="B83" s="4" t="s">
        <v>15</v>
      </c>
      <c r="C83" s="3">
        <v>13</v>
      </c>
      <c r="D83" s="3">
        <f>VLOOKUP(B83,[3]Sheet1!$A$54:$B$77,2,FALSE)</f>
        <v>3</v>
      </c>
      <c r="E83" s="3">
        <f t="shared" si="4"/>
        <v>16</v>
      </c>
      <c r="F83" s="9">
        <f t="shared" si="6"/>
        <v>6.1068702290076333E-2</v>
      </c>
    </row>
    <row r="84" spans="2:6" x14ac:dyDescent="0.35">
      <c r="B84" s="4" t="s">
        <v>440</v>
      </c>
      <c r="C84" s="3">
        <v>2</v>
      </c>
      <c r="D84" s="3">
        <v>0</v>
      </c>
      <c r="E84" s="3">
        <f t="shared" si="4"/>
        <v>2</v>
      </c>
      <c r="F84" s="9">
        <f t="shared" si="6"/>
        <v>7.6335877862595417E-3</v>
      </c>
    </row>
    <row r="85" spans="2:6" x14ac:dyDescent="0.35">
      <c r="B85" s="4" t="s">
        <v>1</v>
      </c>
      <c r="C85" s="3">
        <v>4</v>
      </c>
      <c r="D85" s="3">
        <f>VLOOKUP(B85,[3]Sheet1!$A$54:$B$77,2,FALSE)</f>
        <v>1</v>
      </c>
      <c r="E85" s="3">
        <f t="shared" si="4"/>
        <v>5</v>
      </c>
      <c r="F85" s="9">
        <f t="shared" si="6"/>
        <v>1.9083969465648856E-2</v>
      </c>
    </row>
    <row r="86" spans="2:6" x14ac:dyDescent="0.35">
      <c r="B86" s="4" t="s">
        <v>441</v>
      </c>
      <c r="C86" s="3">
        <v>10</v>
      </c>
      <c r="D86" s="3">
        <v>0</v>
      </c>
      <c r="E86" s="3">
        <f t="shared" si="4"/>
        <v>10</v>
      </c>
      <c r="F86" s="9">
        <f t="shared" si="6"/>
        <v>3.8167938931297711E-2</v>
      </c>
    </row>
    <row r="87" spans="2:6" x14ac:dyDescent="0.35">
      <c r="B87" s="4" t="s">
        <v>442</v>
      </c>
      <c r="C87" s="3">
        <v>5</v>
      </c>
      <c r="D87" s="3">
        <f>VLOOKUP(B87,[3]Sheet1!$A$54:$B$77,2,FALSE)</f>
        <v>7</v>
      </c>
      <c r="E87" s="3">
        <f t="shared" si="4"/>
        <v>12</v>
      </c>
      <c r="F87" s="9">
        <f t="shared" si="6"/>
        <v>4.5801526717557252E-2</v>
      </c>
    </row>
    <row r="88" spans="2:6" x14ac:dyDescent="0.35">
      <c r="B88" s="4" t="s">
        <v>443</v>
      </c>
      <c r="C88" s="3">
        <v>5</v>
      </c>
      <c r="D88" s="3">
        <f>VLOOKUP(B88,[3]Sheet1!$A$54:$B$77,2,FALSE)</f>
        <v>2</v>
      </c>
      <c r="E88" s="3">
        <f t="shared" si="4"/>
        <v>7</v>
      </c>
      <c r="F88" s="9">
        <f t="shared" si="6"/>
        <v>2.6717557251908396E-2</v>
      </c>
    </row>
    <row r="89" spans="2:6" x14ac:dyDescent="0.35">
      <c r="B89" s="4" t="s">
        <v>31</v>
      </c>
      <c r="C89" s="3">
        <v>3</v>
      </c>
      <c r="D89" s="3">
        <f>VLOOKUP(B89,[3]Sheet1!$A$54:$B$77,2,FALSE)</f>
        <v>3</v>
      </c>
      <c r="E89" s="3">
        <f t="shared" si="4"/>
        <v>6</v>
      </c>
      <c r="F89" s="9">
        <f t="shared" si="6"/>
        <v>2.2900763358778626E-2</v>
      </c>
    </row>
    <row r="90" spans="2:6" x14ac:dyDescent="0.35">
      <c r="B90" s="4" t="s">
        <v>2</v>
      </c>
      <c r="C90" s="3">
        <v>4</v>
      </c>
      <c r="D90" s="3">
        <v>0</v>
      </c>
      <c r="E90" s="3">
        <f t="shared" si="4"/>
        <v>4</v>
      </c>
      <c r="F90" s="9">
        <f t="shared" si="6"/>
        <v>1.5267175572519083E-2</v>
      </c>
    </row>
    <row r="91" spans="2:6" x14ac:dyDescent="0.35">
      <c r="B91" s="4" t="s">
        <v>54</v>
      </c>
      <c r="C91" s="3">
        <v>9</v>
      </c>
      <c r="D91" s="3">
        <v>0</v>
      </c>
      <c r="E91" s="3">
        <f t="shared" si="4"/>
        <v>9</v>
      </c>
      <c r="F91" s="9">
        <f t="shared" si="6"/>
        <v>3.4351145038167941E-2</v>
      </c>
    </row>
    <row r="92" spans="2:6" x14ac:dyDescent="0.35">
      <c r="B92" s="4" t="s">
        <v>445</v>
      </c>
      <c r="C92" s="3">
        <v>3</v>
      </c>
      <c r="D92" s="3">
        <f>VLOOKUP(B92,[3]Sheet1!$A$54:$B$77,2,FALSE)</f>
        <v>2</v>
      </c>
      <c r="E92" s="3">
        <f t="shared" si="4"/>
        <v>5</v>
      </c>
      <c r="F92" s="9">
        <f t="shared" si="6"/>
        <v>1.9083969465648856E-2</v>
      </c>
    </row>
    <row r="93" spans="2:6" x14ac:dyDescent="0.35">
      <c r="B93" s="4" t="s">
        <v>30</v>
      </c>
      <c r="C93" s="3">
        <v>8</v>
      </c>
      <c r="D93" s="3">
        <f>VLOOKUP(B93,[3]Sheet1!$A$54:$B$77,2,FALSE)</f>
        <v>1</v>
      </c>
      <c r="E93" s="3">
        <f t="shared" si="4"/>
        <v>9</v>
      </c>
      <c r="F93" s="9">
        <f t="shared" si="6"/>
        <v>3.4351145038167941E-2</v>
      </c>
    </row>
    <row r="94" spans="2:6" x14ac:dyDescent="0.35">
      <c r="B94" s="4" t="s">
        <v>446</v>
      </c>
      <c r="C94" s="3">
        <v>8</v>
      </c>
      <c r="D94" s="3">
        <f>VLOOKUP(B94,[3]Sheet1!$A$54:$B$77,2,FALSE)</f>
        <v>5</v>
      </c>
      <c r="E94" s="3">
        <f t="shared" si="4"/>
        <v>13</v>
      </c>
      <c r="F94" s="9">
        <f t="shared" si="6"/>
        <v>4.9618320610687022E-2</v>
      </c>
    </row>
    <row r="95" spans="2:6" x14ac:dyDescent="0.35">
      <c r="B95" s="4" t="s">
        <v>447</v>
      </c>
      <c r="C95" s="3">
        <v>4</v>
      </c>
      <c r="D95" s="3">
        <v>0</v>
      </c>
      <c r="E95" s="3">
        <f t="shared" si="4"/>
        <v>4</v>
      </c>
      <c r="F95" s="9">
        <f t="shared" si="6"/>
        <v>1.5267175572519083E-2</v>
      </c>
    </row>
    <row r="96" spans="2:6" x14ac:dyDescent="0.35">
      <c r="B96" s="4" t="s">
        <v>448</v>
      </c>
      <c r="C96" s="3">
        <v>3</v>
      </c>
      <c r="D96" s="3">
        <f>VLOOKUP(B96,[3]Sheet1!$A$54:$B$77,2,FALSE)</f>
        <v>1</v>
      </c>
      <c r="E96" s="3">
        <f t="shared" si="4"/>
        <v>4</v>
      </c>
      <c r="F96" s="9">
        <f t="shared" si="6"/>
        <v>1.5267175572519083E-2</v>
      </c>
    </row>
    <row r="97" spans="1:6" x14ac:dyDescent="0.35">
      <c r="B97" s="4" t="s">
        <v>18</v>
      </c>
      <c r="C97" s="3">
        <v>3</v>
      </c>
      <c r="D97" s="3">
        <f>VLOOKUP(B97,[3]Sheet1!$A$54:$B$77,2,FALSE)</f>
        <v>2</v>
      </c>
      <c r="E97" s="3">
        <f t="shared" si="4"/>
        <v>5</v>
      </c>
      <c r="F97" s="9">
        <f t="shared" si="6"/>
        <v>1.9083969465648856E-2</v>
      </c>
    </row>
    <row r="98" spans="1:6" x14ac:dyDescent="0.35">
      <c r="B98" s="4" t="s">
        <v>3</v>
      </c>
      <c r="C98" s="3">
        <v>5</v>
      </c>
      <c r="D98" s="3">
        <f>VLOOKUP(B98,[3]Sheet1!$A$54:$B$77,2,FALSE)</f>
        <v>3</v>
      </c>
      <c r="E98" s="3">
        <f t="shared" si="4"/>
        <v>8</v>
      </c>
      <c r="F98" s="9">
        <f t="shared" si="6"/>
        <v>3.0534351145038167E-2</v>
      </c>
    </row>
    <row r="99" spans="1:6" x14ac:dyDescent="0.35">
      <c r="B99" s="4" t="s">
        <v>449</v>
      </c>
      <c r="C99" s="3">
        <v>2</v>
      </c>
      <c r="D99" s="3">
        <v>0</v>
      </c>
      <c r="E99" s="3">
        <f t="shared" si="4"/>
        <v>2</v>
      </c>
      <c r="F99" s="9">
        <f t="shared" si="6"/>
        <v>7.6335877862595417E-3</v>
      </c>
    </row>
    <row r="100" spans="1:6" x14ac:dyDescent="0.35">
      <c r="B100" s="4" t="s">
        <v>4</v>
      </c>
      <c r="C100" s="3">
        <v>4</v>
      </c>
      <c r="D100" s="3">
        <f>VLOOKUP(B100,[3]Sheet1!$A$54:$B$77,2,FALSE)</f>
        <v>3</v>
      </c>
      <c r="E100" s="3">
        <f t="shared" si="4"/>
        <v>7</v>
      </c>
      <c r="F100" s="9">
        <f t="shared" si="6"/>
        <v>2.6717557251908396E-2</v>
      </c>
    </row>
    <row r="101" spans="1:6" x14ac:dyDescent="0.35">
      <c r="B101" s="4" t="s">
        <v>6</v>
      </c>
      <c r="C101" s="3">
        <v>6</v>
      </c>
      <c r="D101" s="3">
        <f>VLOOKUP(B101,[3]Sheet1!$A$54:$B$77,2,FALSE)</f>
        <v>5</v>
      </c>
      <c r="E101" s="3">
        <f t="shared" si="4"/>
        <v>11</v>
      </c>
      <c r="F101" s="9">
        <f t="shared" si="6"/>
        <v>4.1984732824427481E-2</v>
      </c>
    </row>
    <row r="102" spans="1:6" x14ac:dyDescent="0.35">
      <c r="B102" s="4" t="s">
        <v>453</v>
      </c>
      <c r="C102" s="3">
        <v>9</v>
      </c>
      <c r="D102" s="3">
        <v>0</v>
      </c>
      <c r="E102" s="3">
        <f t="shared" si="4"/>
        <v>9</v>
      </c>
      <c r="F102" s="9">
        <f t="shared" si="6"/>
        <v>3.4351145038167941E-2</v>
      </c>
    </row>
    <row r="103" spans="1:6" x14ac:dyDescent="0.35">
      <c r="B103" s="4" t="s">
        <v>11</v>
      </c>
      <c r="C103" s="3">
        <v>8</v>
      </c>
      <c r="D103" s="3">
        <f>VLOOKUP(B103,[3]Sheet1!$A$54:$B$77,2,FALSE)</f>
        <v>1</v>
      </c>
      <c r="E103" s="3">
        <f t="shared" si="4"/>
        <v>9</v>
      </c>
      <c r="F103" s="9">
        <f t="shared" si="6"/>
        <v>3.4351145038167941E-2</v>
      </c>
    </row>
    <row r="104" spans="1:6" x14ac:dyDescent="0.35">
      <c r="B104" s="4" t="s">
        <v>454</v>
      </c>
      <c r="C104" s="3">
        <v>1</v>
      </c>
      <c r="D104" s="3">
        <v>0</v>
      </c>
      <c r="E104" s="3">
        <f t="shared" si="4"/>
        <v>1</v>
      </c>
      <c r="F104" s="9">
        <f t="shared" si="6"/>
        <v>3.8167938931297708E-3</v>
      </c>
    </row>
    <row r="105" spans="1:6" x14ac:dyDescent="0.35">
      <c r="B105" s="4" t="s">
        <v>452</v>
      </c>
      <c r="C105" s="3">
        <v>2</v>
      </c>
      <c r="D105" s="3">
        <v>0</v>
      </c>
      <c r="E105" s="3">
        <f t="shared" si="4"/>
        <v>2</v>
      </c>
      <c r="F105" s="9">
        <f t="shared" si="6"/>
        <v>7.6335877862595417E-3</v>
      </c>
    </row>
    <row r="106" spans="1:6" s="16" customFormat="1" x14ac:dyDescent="0.35">
      <c r="A106" s="15" t="s">
        <v>424</v>
      </c>
      <c r="B106" s="12" t="s">
        <v>456</v>
      </c>
      <c r="C106" s="13">
        <f>SUM(C107:C141)</f>
        <v>172</v>
      </c>
      <c r="D106" s="13">
        <f t="shared" ref="D106:E106" si="7">SUM(D107:D141)</f>
        <v>113</v>
      </c>
      <c r="E106" s="13">
        <f t="shared" si="7"/>
        <v>285</v>
      </c>
      <c r="F106" s="14">
        <v>1</v>
      </c>
    </row>
    <row r="107" spans="1:6" x14ac:dyDescent="0.35">
      <c r="B107" s="4" t="s">
        <v>433</v>
      </c>
      <c r="C107" s="3">
        <v>2</v>
      </c>
      <c r="D107" s="3">
        <f>VLOOKUP(B107,[2]Sheet1!$A$79:$B$105,2,FALSE)</f>
        <v>5</v>
      </c>
      <c r="E107" s="3">
        <f t="shared" si="4"/>
        <v>7</v>
      </c>
      <c r="F107" s="9">
        <f>E107/285</f>
        <v>2.456140350877193E-2</v>
      </c>
    </row>
    <row r="108" spans="1:6" x14ac:dyDescent="0.35">
      <c r="B108" s="4" t="s">
        <v>34</v>
      </c>
      <c r="C108" s="3">
        <v>3</v>
      </c>
      <c r="D108" s="3">
        <f>VLOOKUP(B108,[2]Sheet1!$A$79:$B$105,2,FALSE)</f>
        <v>6</v>
      </c>
      <c r="E108" s="3">
        <f t="shared" si="4"/>
        <v>9</v>
      </c>
      <c r="F108" s="9">
        <f t="shared" ref="F108:F141" si="8">E108/285</f>
        <v>3.1578947368421054E-2</v>
      </c>
    </row>
    <row r="109" spans="1:6" x14ac:dyDescent="0.35">
      <c r="B109" s="4" t="s">
        <v>435</v>
      </c>
      <c r="C109" s="3">
        <v>2</v>
      </c>
      <c r="D109" s="3">
        <f>VLOOKUP(B109,[2]Sheet1!$A$79:$B$105,2,FALSE)</f>
        <v>1</v>
      </c>
      <c r="E109" s="3">
        <f t="shared" si="4"/>
        <v>3</v>
      </c>
      <c r="F109" s="9">
        <f t="shared" si="8"/>
        <v>1.0526315789473684E-2</v>
      </c>
    </row>
    <row r="110" spans="1:6" x14ac:dyDescent="0.35">
      <c r="B110" s="4" t="s">
        <v>0</v>
      </c>
      <c r="C110" s="3">
        <v>6</v>
      </c>
      <c r="D110" s="3">
        <f>VLOOKUP(B110,[2]Sheet1!$A$79:$B$105,2,FALSE)</f>
        <v>5</v>
      </c>
      <c r="E110" s="3">
        <f t="shared" si="4"/>
        <v>11</v>
      </c>
      <c r="F110" s="9">
        <f t="shared" si="8"/>
        <v>3.8596491228070177E-2</v>
      </c>
    </row>
    <row r="111" spans="1:6" x14ac:dyDescent="0.35">
      <c r="B111" s="4" t="s">
        <v>436</v>
      </c>
      <c r="C111" s="3">
        <v>1</v>
      </c>
      <c r="D111" s="3">
        <v>0</v>
      </c>
      <c r="E111" s="3">
        <f t="shared" si="4"/>
        <v>1</v>
      </c>
      <c r="F111" s="9">
        <f t="shared" si="8"/>
        <v>3.5087719298245615E-3</v>
      </c>
    </row>
    <row r="112" spans="1:6" x14ac:dyDescent="0.35">
      <c r="B112" s="4" t="s">
        <v>437</v>
      </c>
      <c r="C112" s="3">
        <v>10</v>
      </c>
      <c r="D112" s="3">
        <f>VLOOKUP(B112,[2]Sheet1!$A$79:$B$105,2,FALSE)</f>
        <v>2</v>
      </c>
      <c r="E112" s="3">
        <f t="shared" si="4"/>
        <v>12</v>
      </c>
      <c r="F112" s="9">
        <f t="shared" si="8"/>
        <v>4.2105263157894736E-2</v>
      </c>
    </row>
    <row r="113" spans="2:6" x14ac:dyDescent="0.35">
      <c r="B113" s="4" t="s">
        <v>20</v>
      </c>
      <c r="C113" s="3">
        <v>6</v>
      </c>
      <c r="D113" s="3">
        <f>VLOOKUP(B113,[2]Sheet1!$A$79:$B$105,2,FALSE)</f>
        <v>13</v>
      </c>
      <c r="E113" s="3">
        <f t="shared" si="4"/>
        <v>19</v>
      </c>
      <c r="F113" s="9">
        <f t="shared" si="8"/>
        <v>6.6666666666666666E-2</v>
      </c>
    </row>
    <row r="114" spans="2:6" x14ac:dyDescent="0.35">
      <c r="B114" s="4" t="s">
        <v>438</v>
      </c>
      <c r="C114" s="3">
        <v>15</v>
      </c>
      <c r="D114" s="3">
        <f>VLOOKUP(B114,[2]Sheet1!$A$79:$B$105,2,FALSE)</f>
        <v>5</v>
      </c>
      <c r="E114" s="3">
        <f t="shared" si="4"/>
        <v>20</v>
      </c>
      <c r="F114" s="9">
        <f t="shared" si="8"/>
        <v>7.0175438596491224E-2</v>
      </c>
    </row>
    <row r="115" spans="2:6" x14ac:dyDescent="0.35">
      <c r="B115" s="4" t="s">
        <v>52</v>
      </c>
      <c r="C115" s="3">
        <v>1</v>
      </c>
      <c r="D115" s="3">
        <f>VLOOKUP(B115,[2]Sheet1!$A$79:$B$105,2,FALSE)</f>
        <v>4</v>
      </c>
      <c r="E115" s="3">
        <f t="shared" si="4"/>
        <v>5</v>
      </c>
      <c r="F115" s="9">
        <f t="shared" si="8"/>
        <v>1.7543859649122806E-2</v>
      </c>
    </row>
    <row r="116" spans="2:6" x14ac:dyDescent="0.35">
      <c r="B116" s="4" t="s">
        <v>439</v>
      </c>
      <c r="C116" s="3">
        <v>3</v>
      </c>
      <c r="D116" s="3">
        <f>VLOOKUP(B116,[2]Sheet1!$A$79:$B$105,2,FALSE)</f>
        <v>6</v>
      </c>
      <c r="E116" s="3">
        <f t="shared" si="4"/>
        <v>9</v>
      </c>
      <c r="F116" s="9">
        <f t="shared" si="8"/>
        <v>3.1578947368421054E-2</v>
      </c>
    </row>
    <row r="117" spans="2:6" x14ac:dyDescent="0.35">
      <c r="B117" s="4" t="s">
        <v>15</v>
      </c>
      <c r="C117" s="3">
        <v>9</v>
      </c>
      <c r="D117" s="3">
        <f>VLOOKUP(B117,[2]Sheet1!$A$79:$B$105,2,FALSE)</f>
        <v>4</v>
      </c>
      <c r="E117" s="3">
        <f t="shared" si="4"/>
        <v>13</v>
      </c>
      <c r="F117" s="9">
        <f t="shared" si="8"/>
        <v>4.5614035087719301E-2</v>
      </c>
    </row>
    <row r="118" spans="2:6" x14ac:dyDescent="0.35">
      <c r="B118" s="4" t="s">
        <v>440</v>
      </c>
      <c r="C118" s="3">
        <v>4</v>
      </c>
      <c r="D118" s="3">
        <v>0</v>
      </c>
      <c r="E118" s="3">
        <f t="shared" si="4"/>
        <v>4</v>
      </c>
      <c r="F118" s="9">
        <f t="shared" si="8"/>
        <v>1.4035087719298246E-2</v>
      </c>
    </row>
    <row r="119" spans="2:6" x14ac:dyDescent="0.35">
      <c r="B119" s="4" t="s">
        <v>1</v>
      </c>
      <c r="C119" s="3">
        <v>7</v>
      </c>
      <c r="D119" s="3">
        <f>VLOOKUP(B119,[2]Sheet1!$A$79:$B$105,2,FALSE)</f>
        <v>3</v>
      </c>
      <c r="E119" s="3">
        <f t="shared" si="4"/>
        <v>10</v>
      </c>
      <c r="F119" s="9">
        <f t="shared" si="8"/>
        <v>3.5087719298245612E-2</v>
      </c>
    </row>
    <row r="120" spans="2:6" x14ac:dyDescent="0.35">
      <c r="B120" s="4" t="s">
        <v>441</v>
      </c>
      <c r="C120" s="3">
        <v>8</v>
      </c>
      <c r="D120" s="3">
        <f>VLOOKUP(B120,[2]Sheet1!$A$79:$B$105,2,FALSE)</f>
        <v>1</v>
      </c>
      <c r="E120" s="3">
        <f t="shared" si="4"/>
        <v>9</v>
      </c>
      <c r="F120" s="9">
        <f t="shared" si="8"/>
        <v>3.1578947368421054E-2</v>
      </c>
    </row>
    <row r="121" spans="2:6" x14ac:dyDescent="0.35">
      <c r="B121" s="4" t="s">
        <v>442</v>
      </c>
      <c r="C121" s="3">
        <v>3</v>
      </c>
      <c r="D121" s="3">
        <f>VLOOKUP(B121,[2]Sheet1!$A$79:$B$105,2,FALSE)</f>
        <v>6</v>
      </c>
      <c r="E121" s="3">
        <f t="shared" si="4"/>
        <v>9</v>
      </c>
      <c r="F121" s="9">
        <f t="shared" si="8"/>
        <v>3.1578947368421054E-2</v>
      </c>
    </row>
    <row r="122" spans="2:6" x14ac:dyDescent="0.35">
      <c r="B122" s="4" t="s">
        <v>443</v>
      </c>
      <c r="C122" s="3">
        <v>9</v>
      </c>
      <c r="D122" s="3">
        <f>VLOOKUP(B122,[2]Sheet1!$A$79:$B$105,2,FALSE)</f>
        <v>7</v>
      </c>
      <c r="E122" s="3">
        <f t="shared" si="4"/>
        <v>16</v>
      </c>
      <c r="F122" s="9">
        <f t="shared" si="8"/>
        <v>5.6140350877192984E-2</v>
      </c>
    </row>
    <row r="123" spans="2:6" x14ac:dyDescent="0.35">
      <c r="B123" s="4" t="s">
        <v>31</v>
      </c>
      <c r="C123" s="3">
        <v>10</v>
      </c>
      <c r="D123" s="3">
        <f>VLOOKUP(B123,[2]Sheet1!$A$79:$B$105,2,FALSE)</f>
        <v>7</v>
      </c>
      <c r="E123" s="3">
        <f t="shared" si="4"/>
        <v>17</v>
      </c>
      <c r="F123" s="9">
        <f t="shared" si="8"/>
        <v>5.9649122807017542E-2</v>
      </c>
    </row>
    <row r="124" spans="2:6" x14ac:dyDescent="0.35">
      <c r="B124" s="4" t="s">
        <v>444</v>
      </c>
      <c r="C124" s="3">
        <v>5</v>
      </c>
      <c r="D124" s="3">
        <f>VLOOKUP(B124,[2]Sheet1!$A$79:$B$105,2,FALSE)</f>
        <v>7</v>
      </c>
      <c r="E124" s="3">
        <f t="shared" si="4"/>
        <v>12</v>
      </c>
      <c r="F124" s="9">
        <f t="shared" si="8"/>
        <v>4.2105263157894736E-2</v>
      </c>
    </row>
    <row r="125" spans="2:6" x14ac:dyDescent="0.35">
      <c r="B125" s="4" t="s">
        <v>2</v>
      </c>
      <c r="C125" s="3">
        <v>6</v>
      </c>
      <c r="D125" s="3">
        <v>0</v>
      </c>
      <c r="E125" s="3">
        <f t="shared" si="4"/>
        <v>6</v>
      </c>
      <c r="F125" s="9">
        <f t="shared" si="8"/>
        <v>2.1052631578947368E-2</v>
      </c>
    </row>
    <row r="126" spans="2:6" x14ac:dyDescent="0.35">
      <c r="B126" s="4" t="s">
        <v>54</v>
      </c>
      <c r="C126" s="3">
        <v>6</v>
      </c>
      <c r="D126" s="3">
        <f>VLOOKUP(B126,[2]Sheet1!$A$79:$B$105,2,FALSE)</f>
        <v>1</v>
      </c>
      <c r="E126" s="3">
        <f t="shared" si="4"/>
        <v>7</v>
      </c>
      <c r="F126" s="9">
        <f t="shared" si="8"/>
        <v>2.456140350877193E-2</v>
      </c>
    </row>
    <row r="127" spans="2:6" x14ac:dyDescent="0.35">
      <c r="B127" s="4" t="s">
        <v>445</v>
      </c>
      <c r="C127" s="3">
        <v>1</v>
      </c>
      <c r="D127" s="3">
        <f>VLOOKUP(B127,[2]Sheet1!$A$79:$B$105,2,FALSE)</f>
        <v>2</v>
      </c>
      <c r="E127" s="3">
        <f t="shared" si="4"/>
        <v>3</v>
      </c>
      <c r="F127" s="9">
        <f t="shared" si="8"/>
        <v>1.0526315789473684E-2</v>
      </c>
    </row>
    <row r="128" spans="2:6" x14ac:dyDescent="0.35">
      <c r="B128" s="4" t="s">
        <v>30</v>
      </c>
      <c r="C128" s="3">
        <v>8</v>
      </c>
      <c r="D128" s="3">
        <v>0</v>
      </c>
      <c r="E128" s="3">
        <f t="shared" si="4"/>
        <v>8</v>
      </c>
      <c r="F128" s="9">
        <f t="shared" si="8"/>
        <v>2.8070175438596492E-2</v>
      </c>
    </row>
    <row r="129" spans="1:6" x14ac:dyDescent="0.35">
      <c r="B129" s="4" t="s">
        <v>446</v>
      </c>
      <c r="C129" s="3">
        <v>4</v>
      </c>
      <c r="D129" s="3">
        <f>VLOOKUP(B129,[2]Sheet1!$A$79:$B$105,2,FALSE)</f>
        <v>7</v>
      </c>
      <c r="E129" s="3">
        <f t="shared" si="4"/>
        <v>11</v>
      </c>
      <c r="F129" s="9">
        <f t="shared" si="8"/>
        <v>3.8596491228070177E-2</v>
      </c>
    </row>
    <row r="130" spans="1:6" x14ac:dyDescent="0.35">
      <c r="B130" s="4" t="s">
        <v>447</v>
      </c>
      <c r="C130" s="3">
        <v>4</v>
      </c>
      <c r="D130" s="3">
        <v>0</v>
      </c>
      <c r="E130" s="3">
        <f t="shared" si="4"/>
        <v>4</v>
      </c>
      <c r="F130" s="9">
        <f t="shared" si="8"/>
        <v>1.4035087719298246E-2</v>
      </c>
    </row>
    <row r="131" spans="1:6" x14ac:dyDescent="0.35">
      <c r="B131" s="4" t="s">
        <v>448</v>
      </c>
      <c r="C131" s="3">
        <v>1</v>
      </c>
      <c r="D131" s="3">
        <f>VLOOKUP(B131,[2]Sheet1!$A$79:$B$105,2,FALSE)</f>
        <v>1</v>
      </c>
      <c r="E131" s="3">
        <f t="shared" si="4"/>
        <v>2</v>
      </c>
      <c r="F131" s="9">
        <f t="shared" si="8"/>
        <v>7.0175438596491229E-3</v>
      </c>
    </row>
    <row r="132" spans="1:6" x14ac:dyDescent="0.35">
      <c r="B132" s="4" t="s">
        <v>18</v>
      </c>
      <c r="C132" s="3">
        <v>2</v>
      </c>
      <c r="D132" s="3">
        <f>VLOOKUP(B132,[2]Sheet1!$A$79:$B$105,2,FALSE)</f>
        <v>1</v>
      </c>
      <c r="E132" s="3">
        <f t="shared" ref="E132:E195" si="9">D132+C132</f>
        <v>3</v>
      </c>
      <c r="F132" s="9">
        <f t="shared" si="8"/>
        <v>1.0526315789473684E-2</v>
      </c>
    </row>
    <row r="133" spans="1:6" x14ac:dyDescent="0.35">
      <c r="B133" s="4" t="s">
        <v>3</v>
      </c>
      <c r="C133" s="3">
        <v>4</v>
      </c>
      <c r="D133" s="3">
        <f>VLOOKUP(B133,[2]Sheet1!$A$79:$B$105,2,FALSE)</f>
        <v>5</v>
      </c>
      <c r="E133" s="3">
        <f t="shared" si="9"/>
        <v>9</v>
      </c>
      <c r="F133" s="9">
        <f t="shared" si="8"/>
        <v>3.1578947368421054E-2</v>
      </c>
    </row>
    <row r="134" spans="1:6" x14ac:dyDescent="0.35">
      <c r="B134" s="4" t="s">
        <v>449</v>
      </c>
      <c r="C134" s="3">
        <v>3</v>
      </c>
      <c r="D134" s="3">
        <v>0</v>
      </c>
      <c r="E134" s="3">
        <f t="shared" si="9"/>
        <v>3</v>
      </c>
      <c r="F134" s="9">
        <f t="shared" si="8"/>
        <v>1.0526315789473684E-2</v>
      </c>
    </row>
    <row r="135" spans="1:6" x14ac:dyDescent="0.35">
      <c r="B135" s="4" t="s">
        <v>4</v>
      </c>
      <c r="C135" s="3">
        <v>2</v>
      </c>
      <c r="D135" s="3">
        <f>VLOOKUP(B135,[2]Sheet1!$A$79:$B$105,2,FALSE)</f>
        <v>5</v>
      </c>
      <c r="E135" s="3">
        <f t="shared" si="9"/>
        <v>7</v>
      </c>
      <c r="F135" s="9">
        <f t="shared" si="8"/>
        <v>2.456140350877193E-2</v>
      </c>
    </row>
    <row r="136" spans="1:6" x14ac:dyDescent="0.35">
      <c r="B136" s="4" t="s">
        <v>6</v>
      </c>
      <c r="C136" s="3">
        <v>5</v>
      </c>
      <c r="D136" s="3">
        <f>VLOOKUP(B136,[2]Sheet1!$A$79:$B$105,2,FALSE)</f>
        <v>3</v>
      </c>
      <c r="E136" s="3">
        <f t="shared" si="9"/>
        <v>8</v>
      </c>
      <c r="F136" s="9">
        <f t="shared" si="8"/>
        <v>2.8070175438596492E-2</v>
      </c>
    </row>
    <row r="137" spans="1:6" x14ac:dyDescent="0.35">
      <c r="B137" s="4" t="s">
        <v>450</v>
      </c>
      <c r="C137" s="3">
        <v>1</v>
      </c>
      <c r="D137" s="3">
        <f>VLOOKUP(B137,[2]Sheet1!$A$79:$B$105,2,FALSE)</f>
        <v>1</v>
      </c>
      <c r="E137" s="3">
        <f t="shared" si="9"/>
        <v>2</v>
      </c>
      <c r="F137" s="9">
        <f t="shared" si="8"/>
        <v>7.0175438596491229E-3</v>
      </c>
    </row>
    <row r="138" spans="1:6" x14ac:dyDescent="0.35">
      <c r="B138" s="4" t="s">
        <v>453</v>
      </c>
      <c r="C138" s="3">
        <v>9</v>
      </c>
      <c r="D138" s="3">
        <v>0</v>
      </c>
      <c r="E138" s="3">
        <f t="shared" si="9"/>
        <v>9</v>
      </c>
      <c r="F138" s="9">
        <f t="shared" si="8"/>
        <v>3.1578947368421054E-2</v>
      </c>
    </row>
    <row r="139" spans="1:6" x14ac:dyDescent="0.35">
      <c r="B139" s="4" t="s">
        <v>11</v>
      </c>
      <c r="C139" s="3">
        <v>7</v>
      </c>
      <c r="D139" s="3">
        <f>VLOOKUP(B139,[2]Sheet1!$A$79:$B$105,2,FALSE)</f>
        <v>2</v>
      </c>
      <c r="E139" s="3">
        <f t="shared" si="9"/>
        <v>9</v>
      </c>
      <c r="F139" s="9">
        <f t="shared" si="8"/>
        <v>3.1578947368421054E-2</v>
      </c>
    </row>
    <row r="140" spans="1:6" x14ac:dyDescent="0.35">
      <c r="B140" s="4" t="s">
        <v>454</v>
      </c>
      <c r="C140" s="3">
        <v>1</v>
      </c>
      <c r="D140" s="3">
        <v>0</v>
      </c>
      <c r="E140" s="3">
        <f t="shared" si="9"/>
        <v>1</v>
      </c>
      <c r="F140" s="9">
        <f t="shared" si="8"/>
        <v>3.5087719298245615E-3</v>
      </c>
    </row>
    <row r="141" spans="1:6" x14ac:dyDescent="0.35">
      <c r="B141" s="4" t="s">
        <v>452</v>
      </c>
      <c r="C141" s="3">
        <v>4</v>
      </c>
      <c r="D141" s="3">
        <f>VLOOKUP(B141,[2]Sheet1!$A$79:$B$105,2,FALSE)</f>
        <v>3</v>
      </c>
      <c r="E141" s="3">
        <f t="shared" si="9"/>
        <v>7</v>
      </c>
      <c r="F141" s="9">
        <f t="shared" si="8"/>
        <v>2.456140350877193E-2</v>
      </c>
    </row>
    <row r="142" spans="1:6" s="16" customFormat="1" x14ac:dyDescent="0.35">
      <c r="A142" s="15" t="s">
        <v>425</v>
      </c>
      <c r="B142" s="12" t="s">
        <v>456</v>
      </c>
      <c r="C142" s="13">
        <f>SUM(C143:C173)</f>
        <v>191</v>
      </c>
      <c r="D142" s="13">
        <f t="shared" ref="D142:E142" si="10">SUM(D143:D173)</f>
        <v>94</v>
      </c>
      <c r="E142" s="13">
        <f t="shared" si="10"/>
        <v>285</v>
      </c>
      <c r="F142" s="14">
        <v>1</v>
      </c>
    </row>
    <row r="143" spans="1:6" x14ac:dyDescent="0.35">
      <c r="B143" s="4" t="s">
        <v>433</v>
      </c>
      <c r="C143" s="3">
        <v>7</v>
      </c>
      <c r="D143" s="3">
        <f>VLOOKUP(B143,[2]Sheet1!$A$107:$B$133,2,FALSE)</f>
        <v>1</v>
      </c>
      <c r="E143" s="3">
        <f t="shared" si="9"/>
        <v>8</v>
      </c>
      <c r="F143" s="9">
        <f>E143/285</f>
        <v>2.8070175438596492E-2</v>
      </c>
    </row>
    <row r="144" spans="1:6" x14ac:dyDescent="0.35">
      <c r="B144" s="4" t="s">
        <v>0</v>
      </c>
      <c r="C144" s="3">
        <v>11</v>
      </c>
      <c r="D144" s="3">
        <f>VLOOKUP(B144,[2]Sheet1!$A$107:$B$133,2,FALSE)</f>
        <v>1</v>
      </c>
      <c r="E144" s="3">
        <f t="shared" si="9"/>
        <v>12</v>
      </c>
      <c r="F144" s="9">
        <f t="shared" ref="F144:F173" si="11">E144/285</f>
        <v>4.2105263157894736E-2</v>
      </c>
    </row>
    <row r="145" spans="2:6" x14ac:dyDescent="0.35">
      <c r="B145" s="4" t="s">
        <v>436</v>
      </c>
      <c r="C145" s="3">
        <v>1</v>
      </c>
      <c r="D145" s="3">
        <v>0</v>
      </c>
      <c r="E145" s="3">
        <f t="shared" si="9"/>
        <v>1</v>
      </c>
      <c r="F145" s="9">
        <f t="shared" si="11"/>
        <v>3.5087719298245615E-3</v>
      </c>
    </row>
    <row r="146" spans="2:6" x14ac:dyDescent="0.35">
      <c r="B146" s="4" t="s">
        <v>437</v>
      </c>
      <c r="C146" s="3">
        <v>16</v>
      </c>
      <c r="D146" s="3">
        <f>VLOOKUP(B146,[2]Sheet1!$A$107:$B$133,2,FALSE)</f>
        <v>6</v>
      </c>
      <c r="E146" s="3">
        <f t="shared" si="9"/>
        <v>22</v>
      </c>
      <c r="F146" s="9">
        <f t="shared" si="11"/>
        <v>7.7192982456140355E-2</v>
      </c>
    </row>
    <row r="147" spans="2:6" x14ac:dyDescent="0.35">
      <c r="B147" s="4" t="s">
        <v>20</v>
      </c>
      <c r="C147" s="3">
        <v>6</v>
      </c>
      <c r="D147" s="3">
        <f>VLOOKUP(B147,[2]Sheet1!$A$107:$B$133,2,FALSE)</f>
        <v>12</v>
      </c>
      <c r="E147" s="3">
        <f t="shared" si="9"/>
        <v>18</v>
      </c>
      <c r="F147" s="9">
        <f t="shared" si="11"/>
        <v>6.3157894736842107E-2</v>
      </c>
    </row>
    <row r="148" spans="2:6" x14ac:dyDescent="0.35">
      <c r="B148" s="4" t="s">
        <v>438</v>
      </c>
      <c r="C148" s="3">
        <v>12</v>
      </c>
      <c r="D148" s="3">
        <f>VLOOKUP(B148,[2]Sheet1!$A$107:$B$133,2,FALSE)</f>
        <v>4</v>
      </c>
      <c r="E148" s="3">
        <f t="shared" si="9"/>
        <v>16</v>
      </c>
      <c r="F148" s="9">
        <f t="shared" si="11"/>
        <v>5.6140350877192984E-2</v>
      </c>
    </row>
    <row r="149" spans="2:6" x14ac:dyDescent="0.35">
      <c r="B149" s="4" t="s">
        <v>52</v>
      </c>
      <c r="C149" s="3">
        <v>2</v>
      </c>
      <c r="D149" s="3">
        <f>VLOOKUP(B149,[2]Sheet1!$A$107:$B$133,2,FALSE)</f>
        <v>2</v>
      </c>
      <c r="E149" s="3">
        <f t="shared" si="9"/>
        <v>4</v>
      </c>
      <c r="F149" s="9">
        <f t="shared" si="11"/>
        <v>1.4035087719298246E-2</v>
      </c>
    </row>
    <row r="150" spans="2:6" x14ac:dyDescent="0.35">
      <c r="B150" s="4" t="s">
        <v>439</v>
      </c>
      <c r="C150" s="3">
        <v>5</v>
      </c>
      <c r="D150" s="3">
        <f>VLOOKUP(B150,[2]Sheet1!$A$107:$B$133,2,FALSE)</f>
        <v>6</v>
      </c>
      <c r="E150" s="3">
        <f t="shared" si="9"/>
        <v>11</v>
      </c>
      <c r="F150" s="9">
        <f t="shared" si="11"/>
        <v>3.8596491228070177E-2</v>
      </c>
    </row>
    <row r="151" spans="2:6" x14ac:dyDescent="0.35">
      <c r="B151" s="4" t="s">
        <v>15</v>
      </c>
      <c r="C151" s="3">
        <v>10</v>
      </c>
      <c r="D151" s="3">
        <f>VLOOKUP(B151,[2]Sheet1!$A$107:$B$133,2,FALSE)</f>
        <v>1</v>
      </c>
      <c r="E151" s="3">
        <f t="shared" si="9"/>
        <v>11</v>
      </c>
      <c r="F151" s="9">
        <f t="shared" si="11"/>
        <v>3.8596491228070177E-2</v>
      </c>
    </row>
    <row r="152" spans="2:6" x14ac:dyDescent="0.35">
      <c r="B152" s="4" t="s">
        <v>440</v>
      </c>
      <c r="C152" s="3">
        <v>5</v>
      </c>
      <c r="D152" s="3">
        <v>0</v>
      </c>
      <c r="E152" s="3">
        <f t="shared" si="9"/>
        <v>5</v>
      </c>
      <c r="F152" s="9">
        <f t="shared" si="11"/>
        <v>1.7543859649122806E-2</v>
      </c>
    </row>
    <row r="153" spans="2:6" x14ac:dyDescent="0.35">
      <c r="B153" s="4" t="s">
        <v>1</v>
      </c>
      <c r="C153" s="3">
        <v>6</v>
      </c>
      <c r="D153" s="3">
        <f>VLOOKUP(B153,[2]Sheet1!$A$107:$B$133,2,FALSE)</f>
        <v>3</v>
      </c>
      <c r="E153" s="3">
        <f t="shared" si="9"/>
        <v>9</v>
      </c>
      <c r="F153" s="9">
        <f t="shared" si="11"/>
        <v>3.1578947368421054E-2</v>
      </c>
    </row>
    <row r="154" spans="2:6" x14ac:dyDescent="0.35">
      <c r="B154" s="4" t="s">
        <v>441</v>
      </c>
      <c r="C154" s="3">
        <v>8</v>
      </c>
      <c r="D154" s="3">
        <f>VLOOKUP(B154,[2]Sheet1!$A$107:$B$133,2,FALSE)</f>
        <v>3</v>
      </c>
      <c r="E154" s="3">
        <f t="shared" si="9"/>
        <v>11</v>
      </c>
      <c r="F154" s="9">
        <f t="shared" si="11"/>
        <v>3.8596491228070177E-2</v>
      </c>
    </row>
    <row r="155" spans="2:6" x14ac:dyDescent="0.35">
      <c r="B155" s="4" t="s">
        <v>442</v>
      </c>
      <c r="C155" s="3">
        <v>2</v>
      </c>
      <c r="D155" s="3">
        <f>VLOOKUP(B155,[2]Sheet1!$A$107:$B$133,2,FALSE)</f>
        <v>3</v>
      </c>
      <c r="E155" s="3">
        <f t="shared" si="9"/>
        <v>5</v>
      </c>
      <c r="F155" s="9">
        <f t="shared" si="11"/>
        <v>1.7543859649122806E-2</v>
      </c>
    </row>
    <row r="156" spans="2:6" x14ac:dyDescent="0.35">
      <c r="B156" s="4" t="s">
        <v>443</v>
      </c>
      <c r="C156" s="3">
        <v>15</v>
      </c>
      <c r="D156" s="3">
        <f>VLOOKUP(B156,[2]Sheet1!$A$107:$B$133,2,FALSE)</f>
        <v>6</v>
      </c>
      <c r="E156" s="3">
        <f t="shared" si="9"/>
        <v>21</v>
      </c>
      <c r="F156" s="9">
        <f t="shared" si="11"/>
        <v>7.3684210526315783E-2</v>
      </c>
    </row>
    <row r="157" spans="2:6" x14ac:dyDescent="0.35">
      <c r="B157" s="4" t="s">
        <v>31</v>
      </c>
      <c r="C157" s="3">
        <v>8</v>
      </c>
      <c r="D157" s="3">
        <f>VLOOKUP(B157,[2]Sheet1!$A$107:$B$133,2,FALSE)</f>
        <v>14</v>
      </c>
      <c r="E157" s="3">
        <f t="shared" si="9"/>
        <v>22</v>
      </c>
      <c r="F157" s="9">
        <f t="shared" si="11"/>
        <v>7.7192982456140355E-2</v>
      </c>
    </row>
    <row r="158" spans="2:6" x14ac:dyDescent="0.35">
      <c r="B158" s="4" t="s">
        <v>444</v>
      </c>
      <c r="C158" s="3">
        <v>4</v>
      </c>
      <c r="D158" s="3">
        <f>VLOOKUP(B158,[2]Sheet1!$A$107:$B$133,2,FALSE)</f>
        <v>2</v>
      </c>
      <c r="E158" s="3">
        <f t="shared" si="9"/>
        <v>6</v>
      </c>
      <c r="F158" s="9">
        <f t="shared" si="11"/>
        <v>2.1052631578947368E-2</v>
      </c>
    </row>
    <row r="159" spans="2:6" x14ac:dyDescent="0.35">
      <c r="B159" s="4" t="s">
        <v>2</v>
      </c>
      <c r="C159" s="3">
        <v>3</v>
      </c>
      <c r="D159" s="3">
        <v>0</v>
      </c>
      <c r="E159" s="3">
        <f t="shared" si="9"/>
        <v>3</v>
      </c>
      <c r="F159" s="9">
        <f t="shared" si="11"/>
        <v>1.0526315789473684E-2</v>
      </c>
    </row>
    <row r="160" spans="2:6" x14ac:dyDescent="0.35">
      <c r="B160" s="4" t="s">
        <v>54</v>
      </c>
      <c r="C160" s="3">
        <v>2</v>
      </c>
      <c r="D160" s="3">
        <f>VLOOKUP(B160,[2]Sheet1!$A$107:$B$133,2,FALSE)</f>
        <v>1</v>
      </c>
      <c r="E160" s="3">
        <f t="shared" si="9"/>
        <v>3</v>
      </c>
      <c r="F160" s="9">
        <f t="shared" si="11"/>
        <v>1.0526315789473684E-2</v>
      </c>
    </row>
    <row r="161" spans="1:6" x14ac:dyDescent="0.35">
      <c r="B161" s="4" t="s">
        <v>445</v>
      </c>
      <c r="C161" s="3">
        <v>1</v>
      </c>
      <c r="D161" s="3">
        <f>VLOOKUP(B161,[2]Sheet1!$A$107:$B$133,2,FALSE)</f>
        <v>7</v>
      </c>
      <c r="E161" s="3">
        <f t="shared" si="9"/>
        <v>8</v>
      </c>
      <c r="F161" s="9">
        <f t="shared" si="11"/>
        <v>2.8070175438596492E-2</v>
      </c>
    </row>
    <row r="162" spans="1:6" x14ac:dyDescent="0.35">
      <c r="B162" s="4" t="s">
        <v>30</v>
      </c>
      <c r="C162" s="3">
        <v>8</v>
      </c>
      <c r="D162" s="3">
        <f>VLOOKUP(B162,[2]Sheet1!$A$107:$B$133,2,FALSE)</f>
        <v>5</v>
      </c>
      <c r="E162" s="3">
        <f t="shared" si="9"/>
        <v>13</v>
      </c>
      <c r="F162" s="9">
        <f t="shared" si="11"/>
        <v>4.5614035087719301E-2</v>
      </c>
    </row>
    <row r="163" spans="1:6" x14ac:dyDescent="0.35">
      <c r="B163" s="4" t="s">
        <v>446</v>
      </c>
      <c r="C163" s="3">
        <v>3</v>
      </c>
      <c r="D163" s="3">
        <f>VLOOKUP(B163,[2]Sheet1!$A$107:$B$133,2,FALSE)</f>
        <v>8</v>
      </c>
      <c r="E163" s="3">
        <f t="shared" si="9"/>
        <v>11</v>
      </c>
      <c r="F163" s="9">
        <f t="shared" si="11"/>
        <v>3.8596491228070177E-2</v>
      </c>
    </row>
    <row r="164" spans="1:6" x14ac:dyDescent="0.35">
      <c r="B164" s="4" t="s">
        <v>447</v>
      </c>
      <c r="C164" s="3">
        <v>5</v>
      </c>
      <c r="D164" s="3">
        <v>0</v>
      </c>
      <c r="E164" s="3">
        <f t="shared" si="9"/>
        <v>5</v>
      </c>
      <c r="F164" s="9">
        <f t="shared" si="11"/>
        <v>1.7543859649122806E-2</v>
      </c>
    </row>
    <row r="165" spans="1:6" x14ac:dyDescent="0.35">
      <c r="B165" s="4" t="s">
        <v>448</v>
      </c>
      <c r="C165" s="3">
        <v>2</v>
      </c>
      <c r="D165" s="3">
        <f>VLOOKUP(B165,[2]Sheet1!$A$107:$B$133,2,FALSE)</f>
        <v>1</v>
      </c>
      <c r="E165" s="3">
        <f t="shared" si="9"/>
        <v>3</v>
      </c>
      <c r="F165" s="9">
        <f t="shared" si="11"/>
        <v>1.0526315789473684E-2</v>
      </c>
    </row>
    <row r="166" spans="1:6" x14ac:dyDescent="0.35">
      <c r="B166" s="4" t="s">
        <v>18</v>
      </c>
      <c r="C166" s="3">
        <v>2</v>
      </c>
      <c r="D166" s="3">
        <f>VLOOKUP(B166,[2]Sheet1!$A$107:$B$133,2,FALSE)</f>
        <v>1</v>
      </c>
      <c r="E166" s="3">
        <f t="shared" si="9"/>
        <v>3</v>
      </c>
      <c r="F166" s="9">
        <f t="shared" si="11"/>
        <v>1.0526315789473684E-2</v>
      </c>
    </row>
    <row r="167" spans="1:6" x14ac:dyDescent="0.35">
      <c r="B167" s="4" t="s">
        <v>3</v>
      </c>
      <c r="C167" s="3">
        <v>5</v>
      </c>
      <c r="D167" s="3">
        <f>VLOOKUP(B167,[2]Sheet1!$A$107:$B$133,2,FALSE)</f>
        <v>2</v>
      </c>
      <c r="E167" s="3">
        <f t="shared" si="9"/>
        <v>7</v>
      </c>
      <c r="F167" s="9">
        <f t="shared" si="11"/>
        <v>2.456140350877193E-2</v>
      </c>
    </row>
    <row r="168" spans="1:6" x14ac:dyDescent="0.35">
      <c r="B168" s="4" t="s">
        <v>449</v>
      </c>
      <c r="C168" s="3">
        <v>4</v>
      </c>
      <c r="D168" s="3">
        <v>0</v>
      </c>
      <c r="E168" s="3">
        <f t="shared" si="9"/>
        <v>4</v>
      </c>
      <c r="F168" s="9">
        <f t="shared" si="11"/>
        <v>1.4035087719298246E-2</v>
      </c>
    </row>
    <row r="169" spans="1:6" x14ac:dyDescent="0.35">
      <c r="B169" s="4" t="s">
        <v>6</v>
      </c>
      <c r="C169" s="3">
        <v>8</v>
      </c>
      <c r="D169" s="3">
        <f>VLOOKUP(B169,[2]Sheet1!$A$107:$B$133,2,FALSE)</f>
        <v>2</v>
      </c>
      <c r="E169" s="3">
        <f t="shared" si="9"/>
        <v>10</v>
      </c>
      <c r="F169" s="9">
        <f t="shared" si="11"/>
        <v>3.5087719298245612E-2</v>
      </c>
    </row>
    <row r="170" spans="1:6" x14ac:dyDescent="0.35">
      <c r="B170" s="4" t="s">
        <v>450</v>
      </c>
      <c r="C170" s="3">
        <v>5</v>
      </c>
      <c r="D170" s="3">
        <v>0</v>
      </c>
      <c r="E170" s="3">
        <f t="shared" si="9"/>
        <v>5</v>
      </c>
      <c r="F170" s="9">
        <f t="shared" si="11"/>
        <v>1.7543859649122806E-2</v>
      </c>
    </row>
    <row r="171" spans="1:6" x14ac:dyDescent="0.35">
      <c r="B171" s="4" t="s">
        <v>453</v>
      </c>
      <c r="C171" s="3">
        <v>14</v>
      </c>
      <c r="D171" s="3">
        <v>0</v>
      </c>
      <c r="E171" s="3">
        <f t="shared" si="9"/>
        <v>14</v>
      </c>
      <c r="F171" s="9">
        <f t="shared" si="11"/>
        <v>4.912280701754386E-2</v>
      </c>
    </row>
    <row r="172" spans="1:6" x14ac:dyDescent="0.35">
      <c r="B172" s="4" t="s">
        <v>11</v>
      </c>
      <c r="C172" s="3">
        <v>10</v>
      </c>
      <c r="D172" s="3">
        <f>VLOOKUP(B172,[2]Sheet1!$A$107:$B$133,2,FALSE)</f>
        <v>1</v>
      </c>
      <c r="E172" s="3">
        <f t="shared" si="9"/>
        <v>11</v>
      </c>
      <c r="F172" s="9">
        <f t="shared" si="11"/>
        <v>3.8596491228070177E-2</v>
      </c>
    </row>
    <row r="173" spans="1:6" x14ac:dyDescent="0.35">
      <c r="B173" s="4" t="s">
        <v>452</v>
      </c>
      <c r="C173" s="3">
        <v>1</v>
      </c>
      <c r="D173" s="3">
        <f>VLOOKUP(B173,[2]Sheet1!$A$107:$B$133,2,FALSE)</f>
        <v>2</v>
      </c>
      <c r="E173" s="3">
        <f t="shared" si="9"/>
        <v>3</v>
      </c>
      <c r="F173" s="9">
        <f t="shared" si="11"/>
        <v>1.0526315789473684E-2</v>
      </c>
    </row>
    <row r="174" spans="1:6" s="16" customFormat="1" x14ac:dyDescent="0.35">
      <c r="A174" s="15" t="s">
        <v>426</v>
      </c>
      <c r="B174" s="12" t="s">
        <v>456</v>
      </c>
      <c r="C174" s="13">
        <f>SUM(C175:C206)</f>
        <v>186</v>
      </c>
      <c r="D174" s="13">
        <f t="shared" ref="D174:E174" si="12">SUM(D175:D206)</f>
        <v>99</v>
      </c>
      <c r="E174" s="13">
        <f t="shared" si="12"/>
        <v>285</v>
      </c>
      <c r="F174" s="14">
        <v>1</v>
      </c>
    </row>
    <row r="175" spans="1:6" x14ac:dyDescent="0.35">
      <c r="B175" s="4" t="s">
        <v>433</v>
      </c>
      <c r="C175" s="3">
        <v>9</v>
      </c>
      <c r="D175" s="3">
        <f>VLOOKUP(B175,[2]Sheet1!$A$135:$B$158,2,FALSE)</f>
        <v>5</v>
      </c>
      <c r="E175" s="3">
        <f t="shared" si="9"/>
        <v>14</v>
      </c>
      <c r="F175" s="9">
        <f>E175/285</f>
        <v>4.912280701754386E-2</v>
      </c>
    </row>
    <row r="176" spans="1:6" x14ac:dyDescent="0.35">
      <c r="B176" s="4" t="s">
        <v>34</v>
      </c>
      <c r="C176" s="3">
        <v>1</v>
      </c>
      <c r="D176" s="3">
        <f>VLOOKUP(B176,[2]Sheet1!$A$135:$B$158,2,FALSE)</f>
        <v>7</v>
      </c>
      <c r="E176" s="3">
        <f t="shared" si="9"/>
        <v>8</v>
      </c>
      <c r="F176" s="9">
        <f t="shared" ref="F176:F206" si="13">E176/285</f>
        <v>2.8070175438596492E-2</v>
      </c>
    </row>
    <row r="177" spans="2:6" x14ac:dyDescent="0.35">
      <c r="B177" s="4" t="s">
        <v>435</v>
      </c>
      <c r="C177" s="3">
        <v>5</v>
      </c>
      <c r="D177" s="3">
        <f>VLOOKUP(B177,[2]Sheet1!$A$135:$B$158,2,FALSE)</f>
        <v>4</v>
      </c>
      <c r="E177" s="3">
        <f t="shared" si="9"/>
        <v>9</v>
      </c>
      <c r="F177" s="9">
        <f t="shared" si="13"/>
        <v>3.1578947368421054E-2</v>
      </c>
    </row>
    <row r="178" spans="2:6" x14ac:dyDescent="0.35">
      <c r="B178" s="4" t="s">
        <v>0</v>
      </c>
      <c r="C178" s="3">
        <v>12</v>
      </c>
      <c r="D178" s="3">
        <v>0</v>
      </c>
      <c r="E178" s="3">
        <f t="shared" si="9"/>
        <v>12</v>
      </c>
      <c r="F178" s="9">
        <f t="shared" si="13"/>
        <v>4.2105263157894736E-2</v>
      </c>
    </row>
    <row r="179" spans="2:6" x14ac:dyDescent="0.35">
      <c r="B179" s="4" t="s">
        <v>436</v>
      </c>
      <c r="C179" s="3">
        <v>2</v>
      </c>
      <c r="D179" s="3">
        <v>0</v>
      </c>
      <c r="E179" s="3">
        <f t="shared" si="9"/>
        <v>2</v>
      </c>
      <c r="F179" s="9">
        <f t="shared" si="13"/>
        <v>7.0175438596491229E-3</v>
      </c>
    </row>
    <row r="180" spans="2:6" x14ac:dyDescent="0.35">
      <c r="B180" s="4" t="s">
        <v>437</v>
      </c>
      <c r="C180" s="3">
        <v>6</v>
      </c>
      <c r="D180" s="3">
        <v>0</v>
      </c>
      <c r="E180" s="3">
        <f t="shared" si="9"/>
        <v>6</v>
      </c>
      <c r="F180" s="9">
        <f t="shared" si="13"/>
        <v>2.1052631578947368E-2</v>
      </c>
    </row>
    <row r="181" spans="2:6" x14ac:dyDescent="0.35">
      <c r="B181" s="4" t="s">
        <v>20</v>
      </c>
      <c r="C181" s="3">
        <v>1</v>
      </c>
      <c r="D181" s="3">
        <f>VLOOKUP(B181,[2]Sheet1!$A$135:$B$158,2,FALSE)</f>
        <v>26</v>
      </c>
      <c r="E181" s="3">
        <f t="shared" si="9"/>
        <v>27</v>
      </c>
      <c r="F181" s="9">
        <f t="shared" si="13"/>
        <v>9.4736842105263161E-2</v>
      </c>
    </row>
    <row r="182" spans="2:6" x14ac:dyDescent="0.35">
      <c r="B182" s="4" t="s">
        <v>438</v>
      </c>
      <c r="C182" s="3">
        <v>15</v>
      </c>
      <c r="D182" s="3">
        <f>VLOOKUP(B182,[2]Sheet1!$A$135:$B$158,2,FALSE)</f>
        <v>7</v>
      </c>
      <c r="E182" s="3">
        <f t="shared" si="9"/>
        <v>22</v>
      </c>
      <c r="F182" s="9">
        <f t="shared" si="13"/>
        <v>7.7192982456140355E-2</v>
      </c>
    </row>
    <row r="183" spans="2:6" x14ac:dyDescent="0.35">
      <c r="B183" s="4" t="s">
        <v>439</v>
      </c>
      <c r="C183" s="3">
        <v>11</v>
      </c>
      <c r="D183" s="3">
        <f>VLOOKUP(B183,[2]Sheet1!$A$135:$B$158,2,FALSE)</f>
        <v>1</v>
      </c>
      <c r="E183" s="3">
        <f t="shared" si="9"/>
        <v>12</v>
      </c>
      <c r="F183" s="9">
        <f t="shared" si="13"/>
        <v>4.2105263157894736E-2</v>
      </c>
    </row>
    <row r="184" spans="2:6" x14ac:dyDescent="0.35">
      <c r="B184" s="4" t="s">
        <v>15</v>
      </c>
      <c r="C184" s="3">
        <v>12</v>
      </c>
      <c r="D184" s="3">
        <f>VLOOKUP(B184,[2]Sheet1!$A$135:$B$158,2,FALSE)</f>
        <v>3</v>
      </c>
      <c r="E184" s="3">
        <f t="shared" si="9"/>
        <v>15</v>
      </c>
      <c r="F184" s="9">
        <f t="shared" si="13"/>
        <v>5.2631578947368418E-2</v>
      </c>
    </row>
    <row r="185" spans="2:6" x14ac:dyDescent="0.35">
      <c r="B185" s="4" t="s">
        <v>1</v>
      </c>
      <c r="C185" s="3">
        <v>6</v>
      </c>
      <c r="D185" s="3">
        <f>VLOOKUP(B185,[2]Sheet1!$A$135:$B$158,2,FALSE)</f>
        <v>4</v>
      </c>
      <c r="E185" s="3">
        <f t="shared" si="9"/>
        <v>10</v>
      </c>
      <c r="F185" s="9">
        <f t="shared" si="13"/>
        <v>3.5087719298245612E-2</v>
      </c>
    </row>
    <row r="186" spans="2:6" x14ac:dyDescent="0.35">
      <c r="B186" s="4" t="s">
        <v>441</v>
      </c>
      <c r="C186" s="3">
        <v>5</v>
      </c>
      <c r="D186" s="3">
        <f>VLOOKUP(B186,[2]Sheet1!$A$135:$B$158,2,FALSE)</f>
        <v>2</v>
      </c>
      <c r="E186" s="3">
        <f t="shared" si="9"/>
        <v>7</v>
      </c>
      <c r="F186" s="9">
        <f t="shared" si="13"/>
        <v>2.456140350877193E-2</v>
      </c>
    </row>
    <row r="187" spans="2:6" x14ac:dyDescent="0.35">
      <c r="B187" s="4" t="s">
        <v>442</v>
      </c>
      <c r="C187" s="3">
        <v>2</v>
      </c>
      <c r="D187" s="3">
        <f>VLOOKUP(B187,[2]Sheet1!$A$135:$B$158,2,FALSE)</f>
        <v>7</v>
      </c>
      <c r="E187" s="3">
        <f t="shared" si="9"/>
        <v>9</v>
      </c>
      <c r="F187" s="9">
        <f t="shared" si="13"/>
        <v>3.1578947368421054E-2</v>
      </c>
    </row>
    <row r="188" spans="2:6" x14ac:dyDescent="0.35">
      <c r="B188" s="4" t="s">
        <v>443</v>
      </c>
      <c r="C188" s="3">
        <v>13</v>
      </c>
      <c r="D188" s="3">
        <f>VLOOKUP(B188,[2]Sheet1!$A$135:$B$158,2,FALSE)</f>
        <v>2</v>
      </c>
      <c r="E188" s="3">
        <f t="shared" si="9"/>
        <v>15</v>
      </c>
      <c r="F188" s="9">
        <f t="shared" si="13"/>
        <v>5.2631578947368418E-2</v>
      </c>
    </row>
    <row r="189" spans="2:6" x14ac:dyDescent="0.35">
      <c r="B189" s="4" t="s">
        <v>31</v>
      </c>
      <c r="C189" s="3">
        <v>8</v>
      </c>
      <c r="D189" s="3">
        <f>VLOOKUP(B189,[2]Sheet1!$A$135:$B$158,2,FALSE)</f>
        <v>5</v>
      </c>
      <c r="E189" s="3">
        <f t="shared" si="9"/>
        <v>13</v>
      </c>
      <c r="F189" s="9">
        <f t="shared" si="13"/>
        <v>4.5614035087719301E-2</v>
      </c>
    </row>
    <row r="190" spans="2:6" x14ac:dyDescent="0.35">
      <c r="B190" s="4" t="s">
        <v>444</v>
      </c>
      <c r="C190" s="3">
        <v>2</v>
      </c>
      <c r="D190" s="3">
        <f>VLOOKUP(B190,[2]Sheet1!$A$135:$B$158,2,FALSE)</f>
        <v>2</v>
      </c>
      <c r="E190" s="3">
        <f t="shared" si="9"/>
        <v>4</v>
      </c>
      <c r="F190" s="9">
        <f t="shared" si="13"/>
        <v>1.4035087719298246E-2</v>
      </c>
    </row>
    <row r="191" spans="2:6" x14ac:dyDescent="0.35">
      <c r="B191" s="4" t="s">
        <v>54</v>
      </c>
      <c r="C191" s="3">
        <v>6</v>
      </c>
      <c r="D191" s="3">
        <f>VLOOKUP(B191,[2]Sheet1!$A$135:$B$158,2,FALSE)</f>
        <v>1</v>
      </c>
      <c r="E191" s="3">
        <f t="shared" si="9"/>
        <v>7</v>
      </c>
      <c r="F191" s="9">
        <f t="shared" si="13"/>
        <v>2.456140350877193E-2</v>
      </c>
    </row>
    <row r="192" spans="2:6" x14ac:dyDescent="0.35">
      <c r="B192" s="4" t="s">
        <v>30</v>
      </c>
      <c r="C192" s="3">
        <v>8</v>
      </c>
      <c r="D192" s="3">
        <f>VLOOKUP(B192,[2]Sheet1!$A$135:$B$158,2,FALSE)</f>
        <v>1</v>
      </c>
      <c r="E192" s="3">
        <f t="shared" si="9"/>
        <v>9</v>
      </c>
      <c r="F192" s="9">
        <f t="shared" si="13"/>
        <v>3.1578947368421054E-2</v>
      </c>
    </row>
    <row r="193" spans="1:6" x14ac:dyDescent="0.35">
      <c r="B193" s="4" t="s">
        <v>446</v>
      </c>
      <c r="C193" s="3">
        <v>9</v>
      </c>
      <c r="D193" s="3">
        <f>VLOOKUP(B193,[2]Sheet1!$A$135:$B$158,2,FALSE)</f>
        <v>4</v>
      </c>
      <c r="E193" s="3">
        <f t="shared" si="9"/>
        <v>13</v>
      </c>
      <c r="F193" s="9">
        <f t="shared" si="13"/>
        <v>4.5614035087719301E-2</v>
      </c>
    </row>
    <row r="194" spans="1:6" x14ac:dyDescent="0.35">
      <c r="B194" s="4" t="s">
        <v>447</v>
      </c>
      <c r="C194" s="3">
        <v>3</v>
      </c>
      <c r="D194" s="3">
        <v>0</v>
      </c>
      <c r="E194" s="3">
        <f t="shared" si="9"/>
        <v>3</v>
      </c>
      <c r="F194" s="9">
        <f t="shared" si="13"/>
        <v>1.0526315789473684E-2</v>
      </c>
    </row>
    <row r="195" spans="1:6" x14ac:dyDescent="0.35">
      <c r="B195" s="4" t="s">
        <v>448</v>
      </c>
      <c r="C195" s="3">
        <v>1</v>
      </c>
      <c r="D195" s="3">
        <f>VLOOKUP(B195,[2]Sheet1!$A$135:$B$158,2,FALSE)</f>
        <v>5</v>
      </c>
      <c r="E195" s="3">
        <f t="shared" si="9"/>
        <v>6</v>
      </c>
      <c r="F195" s="9">
        <f t="shared" si="13"/>
        <v>2.1052631578947368E-2</v>
      </c>
    </row>
    <row r="196" spans="1:6" x14ac:dyDescent="0.35">
      <c r="B196" s="4" t="s">
        <v>18</v>
      </c>
      <c r="C196" s="3">
        <v>4</v>
      </c>
      <c r="D196" s="3">
        <v>0</v>
      </c>
      <c r="E196" s="3">
        <f t="shared" ref="E196:E259" si="14">D196+C196</f>
        <v>4</v>
      </c>
      <c r="F196" s="9">
        <f t="shared" si="13"/>
        <v>1.4035087719298246E-2</v>
      </c>
    </row>
    <row r="197" spans="1:6" x14ac:dyDescent="0.35">
      <c r="B197" s="4" t="s">
        <v>3</v>
      </c>
      <c r="C197" s="3">
        <v>4</v>
      </c>
      <c r="D197" s="3">
        <f>VLOOKUP(B197,[2]Sheet1!$A$135:$B$158,2,FALSE)</f>
        <v>2</v>
      </c>
      <c r="E197" s="3">
        <f t="shared" si="14"/>
        <v>6</v>
      </c>
      <c r="F197" s="9">
        <f t="shared" si="13"/>
        <v>2.1052631578947368E-2</v>
      </c>
    </row>
    <row r="198" spans="1:6" x14ac:dyDescent="0.35">
      <c r="B198" s="4" t="s">
        <v>449</v>
      </c>
      <c r="C198" s="3">
        <v>3</v>
      </c>
      <c r="D198" s="3">
        <v>0</v>
      </c>
      <c r="E198" s="3">
        <f t="shared" si="14"/>
        <v>3</v>
      </c>
      <c r="F198" s="9">
        <f t="shared" si="13"/>
        <v>1.0526315789473684E-2</v>
      </c>
    </row>
    <row r="199" spans="1:6" x14ac:dyDescent="0.35">
      <c r="B199" s="4" t="s">
        <v>4</v>
      </c>
      <c r="C199" s="3">
        <v>2</v>
      </c>
      <c r="D199" s="3">
        <f>VLOOKUP(B199,[2]Sheet1!$A$135:$B$158,2,FALSE)</f>
        <v>6</v>
      </c>
      <c r="E199" s="3">
        <f t="shared" si="14"/>
        <v>8</v>
      </c>
      <c r="F199" s="9">
        <f t="shared" si="13"/>
        <v>2.8070175438596492E-2</v>
      </c>
    </row>
    <row r="200" spans="1:6" x14ac:dyDescent="0.35">
      <c r="B200" s="4" t="s">
        <v>6</v>
      </c>
      <c r="C200" s="3">
        <v>8</v>
      </c>
      <c r="D200" s="3">
        <f>VLOOKUP(B200,[2]Sheet1!$A$135:$B$158,2,FALSE)</f>
        <v>1</v>
      </c>
      <c r="E200" s="3">
        <f t="shared" si="14"/>
        <v>9</v>
      </c>
      <c r="F200" s="9">
        <f t="shared" si="13"/>
        <v>3.1578947368421054E-2</v>
      </c>
    </row>
    <row r="201" spans="1:6" x14ac:dyDescent="0.35">
      <c r="B201" s="4" t="s">
        <v>450</v>
      </c>
      <c r="C201" s="3">
        <v>3</v>
      </c>
      <c r="D201" s="3">
        <f>VLOOKUP(B201,[2]Sheet1!$A$135:$B$158,2,FALSE)</f>
        <v>2</v>
      </c>
      <c r="E201" s="3">
        <f t="shared" si="14"/>
        <v>5</v>
      </c>
      <c r="F201" s="9">
        <f t="shared" si="13"/>
        <v>1.7543859649122806E-2</v>
      </c>
    </row>
    <row r="202" spans="1:6" x14ac:dyDescent="0.35">
      <c r="B202" s="4" t="s">
        <v>451</v>
      </c>
      <c r="C202" s="3">
        <v>1</v>
      </c>
      <c r="D202" s="3">
        <v>0</v>
      </c>
      <c r="E202" s="3">
        <f t="shared" si="14"/>
        <v>1</v>
      </c>
      <c r="F202" s="9">
        <f t="shared" si="13"/>
        <v>3.5087719298245615E-3</v>
      </c>
    </row>
    <row r="203" spans="1:6" x14ac:dyDescent="0.35">
      <c r="B203" s="4" t="s">
        <v>453</v>
      </c>
      <c r="C203" s="3">
        <v>8</v>
      </c>
      <c r="D203" s="3">
        <v>0</v>
      </c>
      <c r="E203" s="3">
        <f t="shared" si="14"/>
        <v>8</v>
      </c>
      <c r="F203" s="9">
        <f t="shared" si="13"/>
        <v>2.8070175438596492E-2</v>
      </c>
    </row>
    <row r="204" spans="1:6" x14ac:dyDescent="0.35">
      <c r="B204" s="4" t="s">
        <v>11</v>
      </c>
      <c r="C204" s="3">
        <v>10</v>
      </c>
      <c r="D204" s="3">
        <v>0</v>
      </c>
      <c r="E204" s="3">
        <f t="shared" si="14"/>
        <v>10</v>
      </c>
      <c r="F204" s="9">
        <f t="shared" si="13"/>
        <v>3.5087719298245612E-2</v>
      </c>
    </row>
    <row r="205" spans="1:6" x14ac:dyDescent="0.35">
      <c r="B205" s="4" t="s">
        <v>454</v>
      </c>
      <c r="C205" s="3">
        <v>3</v>
      </c>
      <c r="D205" s="3">
        <v>0</v>
      </c>
      <c r="E205" s="3">
        <f t="shared" si="14"/>
        <v>3</v>
      </c>
      <c r="F205" s="9">
        <f t="shared" si="13"/>
        <v>1.0526315789473684E-2</v>
      </c>
    </row>
    <row r="206" spans="1:6" x14ac:dyDescent="0.35">
      <c r="B206" s="4" t="s">
        <v>452</v>
      </c>
      <c r="C206" s="3">
        <v>3</v>
      </c>
      <c r="D206" s="3">
        <f>VLOOKUP(B206,[2]Sheet1!$A$135:$B$158,2,FALSE)</f>
        <v>2</v>
      </c>
      <c r="E206" s="3">
        <f t="shared" si="14"/>
        <v>5</v>
      </c>
      <c r="F206" s="9">
        <f t="shared" si="13"/>
        <v>1.7543859649122806E-2</v>
      </c>
    </row>
    <row r="207" spans="1:6" s="16" customFormat="1" x14ac:dyDescent="0.35">
      <c r="A207" s="15" t="s">
        <v>427</v>
      </c>
      <c r="B207" s="12" t="s">
        <v>456</v>
      </c>
      <c r="C207" s="13">
        <f>SUM(C208:C239)</f>
        <v>180</v>
      </c>
      <c r="D207" s="13">
        <f t="shared" ref="D207:E207" si="15">SUM(D208:D239)</f>
        <v>91</v>
      </c>
      <c r="E207" s="13">
        <f t="shared" si="15"/>
        <v>271</v>
      </c>
      <c r="F207" s="14">
        <v>1</v>
      </c>
    </row>
    <row r="208" spans="1:6" x14ac:dyDescent="0.35">
      <c r="B208" s="4" t="s">
        <v>433</v>
      </c>
      <c r="C208" s="3">
        <v>3</v>
      </c>
      <c r="D208" s="3">
        <f>VLOOKUP(B208,[2]Sheet1!$A$135:$B$158,2,FALSE)</f>
        <v>5</v>
      </c>
      <c r="E208" s="3">
        <f t="shared" si="14"/>
        <v>8</v>
      </c>
      <c r="F208" s="9">
        <f>E208/271</f>
        <v>2.9520295202952029E-2</v>
      </c>
    </row>
    <row r="209" spans="2:6" x14ac:dyDescent="0.35">
      <c r="B209" s="4" t="s">
        <v>34</v>
      </c>
      <c r="C209" s="3">
        <v>4</v>
      </c>
      <c r="D209" s="3">
        <f>VLOOKUP(B209,[2]Sheet1!$A$135:$B$158,2,FALSE)</f>
        <v>7</v>
      </c>
      <c r="E209" s="3">
        <f t="shared" si="14"/>
        <v>11</v>
      </c>
      <c r="F209" s="9">
        <f t="shared" ref="F209:F239" si="16">E209/271</f>
        <v>4.0590405904059039E-2</v>
      </c>
    </row>
    <row r="210" spans="2:6" x14ac:dyDescent="0.35">
      <c r="B210" s="4" t="s">
        <v>435</v>
      </c>
      <c r="C210" s="3">
        <v>5</v>
      </c>
      <c r="D210" s="3">
        <f>VLOOKUP(B210,[2]Sheet1!$A$135:$B$158,2,FALSE)</f>
        <v>4</v>
      </c>
      <c r="E210" s="3">
        <f t="shared" si="14"/>
        <v>9</v>
      </c>
      <c r="F210" s="9">
        <f t="shared" si="16"/>
        <v>3.3210332103321034E-2</v>
      </c>
    </row>
    <row r="211" spans="2:6" x14ac:dyDescent="0.35">
      <c r="B211" s="4" t="s">
        <v>0</v>
      </c>
      <c r="C211" s="3">
        <v>15</v>
      </c>
      <c r="D211" s="3">
        <v>0</v>
      </c>
      <c r="E211" s="3">
        <f t="shared" si="14"/>
        <v>15</v>
      </c>
      <c r="F211" s="9">
        <f t="shared" si="16"/>
        <v>5.5350553505535055E-2</v>
      </c>
    </row>
    <row r="212" spans="2:6" x14ac:dyDescent="0.35">
      <c r="B212" s="4" t="s">
        <v>436</v>
      </c>
      <c r="C212" s="3">
        <v>2</v>
      </c>
      <c r="D212" s="3">
        <v>0</v>
      </c>
      <c r="E212" s="3">
        <f t="shared" si="14"/>
        <v>2</v>
      </c>
      <c r="F212" s="9">
        <f t="shared" si="16"/>
        <v>7.3800738007380072E-3</v>
      </c>
    </row>
    <row r="213" spans="2:6" x14ac:dyDescent="0.35">
      <c r="B213" s="4" t="s">
        <v>437</v>
      </c>
      <c r="C213" s="3">
        <v>20</v>
      </c>
      <c r="D213" s="3">
        <v>0</v>
      </c>
      <c r="E213" s="3">
        <f t="shared" si="14"/>
        <v>20</v>
      </c>
      <c r="F213" s="9">
        <f t="shared" si="16"/>
        <v>7.3800738007380073E-2</v>
      </c>
    </row>
    <row r="214" spans="2:6" x14ac:dyDescent="0.35">
      <c r="B214" s="4" t="s">
        <v>20</v>
      </c>
      <c r="C214" s="3">
        <v>5</v>
      </c>
      <c r="D214" s="3">
        <f>VLOOKUP(B214,[2]Sheet1!$A$135:$B$158,2,FALSE)</f>
        <v>26</v>
      </c>
      <c r="E214" s="3">
        <f t="shared" si="14"/>
        <v>31</v>
      </c>
      <c r="F214" s="9">
        <f t="shared" si="16"/>
        <v>0.11439114391143912</v>
      </c>
    </row>
    <row r="215" spans="2:6" x14ac:dyDescent="0.35">
      <c r="B215" s="4" t="s">
        <v>438</v>
      </c>
      <c r="C215" s="3">
        <v>7</v>
      </c>
      <c r="D215" s="3">
        <f>VLOOKUP(B215,[2]Sheet1!$A$135:$B$158,2,FALSE)</f>
        <v>7</v>
      </c>
      <c r="E215" s="3">
        <f t="shared" si="14"/>
        <v>14</v>
      </c>
      <c r="F215" s="9">
        <f t="shared" si="16"/>
        <v>5.1660516605166053E-2</v>
      </c>
    </row>
    <row r="216" spans="2:6" x14ac:dyDescent="0.35">
      <c r="B216" s="4" t="s">
        <v>52</v>
      </c>
      <c r="C216" s="3">
        <v>1</v>
      </c>
      <c r="D216" s="3">
        <f>VLOOKUP(B216,[2]Sheet1!$A$135:$B$158,2,FALSE)</f>
        <v>7</v>
      </c>
      <c r="E216" s="3">
        <f t="shared" si="14"/>
        <v>8</v>
      </c>
      <c r="F216" s="9">
        <f t="shared" si="16"/>
        <v>2.9520295202952029E-2</v>
      </c>
    </row>
    <row r="217" spans="2:6" x14ac:dyDescent="0.35">
      <c r="B217" s="4" t="s">
        <v>439</v>
      </c>
      <c r="C217" s="3">
        <v>11</v>
      </c>
      <c r="D217" s="3">
        <f>VLOOKUP(B217,[2]Sheet1!$A$135:$B$158,2,FALSE)</f>
        <v>1</v>
      </c>
      <c r="E217" s="3">
        <f t="shared" si="14"/>
        <v>12</v>
      </c>
      <c r="F217" s="9">
        <f t="shared" si="16"/>
        <v>4.4280442804428041E-2</v>
      </c>
    </row>
    <row r="218" spans="2:6" x14ac:dyDescent="0.35">
      <c r="B218" s="4" t="s">
        <v>15</v>
      </c>
      <c r="C218" s="3">
        <v>8</v>
      </c>
      <c r="D218" s="3">
        <f>VLOOKUP(B218,[2]Sheet1!$A$135:$B$158,2,FALSE)</f>
        <v>3</v>
      </c>
      <c r="E218" s="3">
        <f t="shared" si="14"/>
        <v>11</v>
      </c>
      <c r="F218" s="9">
        <f t="shared" si="16"/>
        <v>4.0590405904059039E-2</v>
      </c>
    </row>
    <row r="219" spans="2:6" x14ac:dyDescent="0.35">
      <c r="B219" s="4" t="s">
        <v>440</v>
      </c>
      <c r="C219" s="3">
        <v>1</v>
      </c>
      <c r="D219" s="3">
        <v>0</v>
      </c>
      <c r="E219" s="3">
        <f t="shared" si="14"/>
        <v>1</v>
      </c>
      <c r="F219" s="9">
        <f t="shared" si="16"/>
        <v>3.6900369003690036E-3</v>
      </c>
    </row>
    <row r="220" spans="2:6" x14ac:dyDescent="0.35">
      <c r="B220" s="4" t="s">
        <v>1</v>
      </c>
      <c r="C220" s="3">
        <v>3</v>
      </c>
      <c r="D220" s="3">
        <f>VLOOKUP(B220,[2]Sheet1!$A$135:$B$158,2,FALSE)</f>
        <v>4</v>
      </c>
      <c r="E220" s="3">
        <f t="shared" si="14"/>
        <v>7</v>
      </c>
      <c r="F220" s="9">
        <f t="shared" si="16"/>
        <v>2.5830258302583026E-2</v>
      </c>
    </row>
    <row r="221" spans="2:6" x14ac:dyDescent="0.35">
      <c r="B221" s="4" t="s">
        <v>441</v>
      </c>
      <c r="C221" s="3">
        <v>7</v>
      </c>
      <c r="D221" s="3">
        <f>VLOOKUP(B221,[2]Sheet1!$A$135:$B$158,2,FALSE)</f>
        <v>2</v>
      </c>
      <c r="E221" s="3">
        <f t="shared" si="14"/>
        <v>9</v>
      </c>
      <c r="F221" s="9">
        <f t="shared" si="16"/>
        <v>3.3210332103321034E-2</v>
      </c>
    </row>
    <row r="222" spans="2:6" x14ac:dyDescent="0.35">
      <c r="B222" s="4" t="s">
        <v>443</v>
      </c>
      <c r="C222" s="3">
        <v>16</v>
      </c>
      <c r="D222" s="3">
        <f>VLOOKUP(B222,[2]Sheet1!$A$135:$B$158,2,FALSE)</f>
        <v>2</v>
      </c>
      <c r="E222" s="3">
        <f t="shared" si="14"/>
        <v>18</v>
      </c>
      <c r="F222" s="9">
        <f t="shared" si="16"/>
        <v>6.6420664206642069E-2</v>
      </c>
    </row>
    <row r="223" spans="2:6" x14ac:dyDescent="0.35">
      <c r="B223" s="4" t="s">
        <v>31</v>
      </c>
      <c r="C223" s="3">
        <v>5</v>
      </c>
      <c r="D223" s="3">
        <f>VLOOKUP(B223,[2]Sheet1!$A$135:$B$158,2,FALSE)</f>
        <v>5</v>
      </c>
      <c r="E223" s="3">
        <f t="shared" si="14"/>
        <v>10</v>
      </c>
      <c r="F223" s="9">
        <f t="shared" si="16"/>
        <v>3.6900369003690037E-2</v>
      </c>
    </row>
    <row r="224" spans="2:6" x14ac:dyDescent="0.35">
      <c r="B224" s="4" t="s">
        <v>444</v>
      </c>
      <c r="C224" s="3">
        <v>5</v>
      </c>
      <c r="D224" s="3">
        <f>VLOOKUP(B224,[2]Sheet1!$A$135:$B$158,2,FALSE)</f>
        <v>2</v>
      </c>
      <c r="E224" s="3">
        <f t="shared" si="14"/>
        <v>7</v>
      </c>
      <c r="F224" s="9">
        <f t="shared" si="16"/>
        <v>2.5830258302583026E-2</v>
      </c>
    </row>
    <row r="225" spans="1:6" x14ac:dyDescent="0.35">
      <c r="B225" s="4" t="s">
        <v>2</v>
      </c>
      <c r="C225" s="3">
        <v>3</v>
      </c>
      <c r="D225" s="3">
        <v>0</v>
      </c>
      <c r="E225" s="3">
        <f t="shared" si="14"/>
        <v>3</v>
      </c>
      <c r="F225" s="9">
        <f t="shared" si="16"/>
        <v>1.107011070110701E-2</v>
      </c>
    </row>
    <row r="226" spans="1:6" x14ac:dyDescent="0.35">
      <c r="B226" s="4" t="s">
        <v>54</v>
      </c>
      <c r="C226" s="3">
        <v>6</v>
      </c>
      <c r="D226" s="3">
        <f>VLOOKUP(B226,[2]Sheet1!$A$135:$B$158,2,FALSE)</f>
        <v>1</v>
      </c>
      <c r="E226" s="3">
        <f t="shared" si="14"/>
        <v>7</v>
      </c>
      <c r="F226" s="9">
        <f t="shared" si="16"/>
        <v>2.5830258302583026E-2</v>
      </c>
    </row>
    <row r="227" spans="1:6" x14ac:dyDescent="0.35">
      <c r="B227" s="4" t="s">
        <v>445</v>
      </c>
      <c r="C227" s="3">
        <v>3</v>
      </c>
      <c r="D227" s="3">
        <f>VLOOKUP(B227,[2]Sheet1!$A$135:$B$158,2,FALSE)</f>
        <v>3</v>
      </c>
      <c r="E227" s="3">
        <f t="shared" si="14"/>
        <v>6</v>
      </c>
      <c r="F227" s="9">
        <f t="shared" si="16"/>
        <v>2.2140221402214021E-2</v>
      </c>
    </row>
    <row r="228" spans="1:6" x14ac:dyDescent="0.35">
      <c r="B228" s="4" t="s">
        <v>30</v>
      </c>
      <c r="C228" s="3">
        <v>10</v>
      </c>
      <c r="D228" s="3">
        <f>VLOOKUP(B228,[2]Sheet1!$A$135:$B$158,2,FALSE)</f>
        <v>1</v>
      </c>
      <c r="E228" s="3">
        <f t="shared" si="14"/>
        <v>11</v>
      </c>
      <c r="F228" s="9">
        <f t="shared" si="16"/>
        <v>4.0590405904059039E-2</v>
      </c>
    </row>
    <row r="229" spans="1:6" x14ac:dyDescent="0.35">
      <c r="B229" s="4" t="s">
        <v>446</v>
      </c>
      <c r="C229" s="3">
        <v>8</v>
      </c>
      <c r="D229" s="3">
        <f>VLOOKUP(B229,[2]Sheet1!$A$135:$B$158,2,FALSE)</f>
        <v>4</v>
      </c>
      <c r="E229" s="3">
        <f t="shared" si="14"/>
        <v>12</v>
      </c>
      <c r="F229" s="9">
        <f t="shared" si="16"/>
        <v>4.4280442804428041E-2</v>
      </c>
    </row>
    <row r="230" spans="1:6" x14ac:dyDescent="0.35">
      <c r="B230" s="4" t="s">
        <v>447</v>
      </c>
      <c r="C230" s="3">
        <v>1</v>
      </c>
      <c r="D230" s="3">
        <v>0</v>
      </c>
      <c r="E230" s="3">
        <f t="shared" si="14"/>
        <v>1</v>
      </c>
      <c r="F230" s="9">
        <f t="shared" si="16"/>
        <v>3.6900369003690036E-3</v>
      </c>
    </row>
    <row r="231" spans="1:6" x14ac:dyDescent="0.35">
      <c r="B231" s="4" t="s">
        <v>18</v>
      </c>
      <c r="C231" s="3">
        <v>3</v>
      </c>
      <c r="D231" s="3">
        <v>0</v>
      </c>
      <c r="E231" s="3">
        <f t="shared" si="14"/>
        <v>3</v>
      </c>
      <c r="F231" s="9">
        <f t="shared" si="16"/>
        <v>1.107011070110701E-2</v>
      </c>
    </row>
    <row r="232" spans="1:6" x14ac:dyDescent="0.35">
      <c r="B232" s="4" t="s">
        <v>3</v>
      </c>
      <c r="C232" s="3">
        <v>2</v>
      </c>
      <c r="D232" s="3">
        <f>VLOOKUP(B232,[2]Sheet1!$A$135:$B$158,2,FALSE)</f>
        <v>2</v>
      </c>
      <c r="E232" s="3">
        <f t="shared" si="14"/>
        <v>4</v>
      </c>
      <c r="F232" s="9">
        <f t="shared" si="16"/>
        <v>1.4760147601476014E-2</v>
      </c>
    </row>
    <row r="233" spans="1:6" x14ac:dyDescent="0.35">
      <c r="B233" s="4" t="s">
        <v>449</v>
      </c>
      <c r="C233" s="3">
        <v>3</v>
      </c>
      <c r="D233" s="3">
        <v>0</v>
      </c>
      <c r="E233" s="3">
        <f t="shared" si="14"/>
        <v>3</v>
      </c>
      <c r="F233" s="9">
        <f t="shared" si="16"/>
        <v>1.107011070110701E-2</v>
      </c>
    </row>
    <row r="234" spans="1:6" x14ac:dyDescent="0.35">
      <c r="B234" s="4" t="s">
        <v>6</v>
      </c>
      <c r="C234" s="3">
        <v>4</v>
      </c>
      <c r="D234" s="3">
        <f>VLOOKUP(B234,[2]Sheet1!$A$135:$B$158,2,FALSE)</f>
        <v>1</v>
      </c>
      <c r="E234" s="3">
        <f t="shared" si="14"/>
        <v>5</v>
      </c>
      <c r="F234" s="9">
        <f t="shared" si="16"/>
        <v>1.8450184501845018E-2</v>
      </c>
    </row>
    <row r="235" spans="1:6" x14ac:dyDescent="0.35">
      <c r="B235" s="4" t="s">
        <v>450</v>
      </c>
      <c r="C235" s="3">
        <v>2</v>
      </c>
      <c r="D235" s="3">
        <f>VLOOKUP(B235,[2]Sheet1!$A$135:$B$158,2,FALSE)</f>
        <v>2</v>
      </c>
      <c r="E235" s="3">
        <f t="shared" si="14"/>
        <v>4</v>
      </c>
      <c r="F235" s="9">
        <f t="shared" si="16"/>
        <v>1.4760147601476014E-2</v>
      </c>
    </row>
    <row r="236" spans="1:6" x14ac:dyDescent="0.35">
      <c r="B236" s="4" t="s">
        <v>453</v>
      </c>
      <c r="C236" s="3">
        <v>3</v>
      </c>
      <c r="D236" s="3">
        <v>0</v>
      </c>
      <c r="E236" s="3">
        <f t="shared" si="14"/>
        <v>3</v>
      </c>
      <c r="F236" s="9">
        <f t="shared" si="16"/>
        <v>1.107011070110701E-2</v>
      </c>
    </row>
    <row r="237" spans="1:6" x14ac:dyDescent="0.35">
      <c r="B237" s="4" t="s">
        <v>11</v>
      </c>
      <c r="C237" s="3">
        <v>9</v>
      </c>
      <c r="D237" s="3">
        <v>0</v>
      </c>
      <c r="E237" s="3">
        <f t="shared" si="14"/>
        <v>9</v>
      </c>
      <c r="F237" s="9">
        <f t="shared" si="16"/>
        <v>3.3210332103321034E-2</v>
      </c>
    </row>
    <row r="238" spans="1:6" x14ac:dyDescent="0.35">
      <c r="B238" s="4" t="s">
        <v>454</v>
      </c>
      <c r="C238" s="3">
        <v>1</v>
      </c>
      <c r="D238" s="3">
        <v>0</v>
      </c>
      <c r="E238" s="3">
        <f t="shared" si="14"/>
        <v>1</v>
      </c>
      <c r="F238" s="9">
        <f t="shared" si="16"/>
        <v>3.6900369003690036E-3</v>
      </c>
    </row>
    <row r="239" spans="1:6" x14ac:dyDescent="0.35">
      <c r="B239" s="4" t="s">
        <v>452</v>
      </c>
      <c r="C239" s="3">
        <v>4</v>
      </c>
      <c r="D239" s="3">
        <f>VLOOKUP(B239,[2]Sheet1!$A$135:$B$158,2,FALSE)</f>
        <v>2</v>
      </c>
      <c r="E239" s="3">
        <f t="shared" si="14"/>
        <v>6</v>
      </c>
      <c r="F239" s="9">
        <f t="shared" si="16"/>
        <v>2.2140221402214021E-2</v>
      </c>
    </row>
    <row r="240" spans="1:6" s="16" customFormat="1" x14ac:dyDescent="0.35">
      <c r="A240" s="15" t="s">
        <v>428</v>
      </c>
      <c r="B240" s="12" t="s">
        <v>456</v>
      </c>
      <c r="C240" s="13">
        <f>SUM(C241:C273)</f>
        <v>184</v>
      </c>
      <c r="D240" s="13">
        <f t="shared" ref="D240:E240" si="17">SUM(D241:D273)</f>
        <v>127</v>
      </c>
      <c r="E240" s="13">
        <f t="shared" si="17"/>
        <v>311</v>
      </c>
      <c r="F240" s="14">
        <v>1</v>
      </c>
    </row>
    <row r="241" spans="2:6" x14ac:dyDescent="0.35">
      <c r="B241" s="4" t="s">
        <v>433</v>
      </c>
      <c r="C241" s="3">
        <v>4</v>
      </c>
      <c r="D241" s="3">
        <f>VLOOKUP(B241,[2]Sheet1!$A$190:$B$216,2,FALSE)</f>
        <v>4</v>
      </c>
      <c r="E241" s="3">
        <f t="shared" si="14"/>
        <v>8</v>
      </c>
      <c r="F241" s="9">
        <f>E241/311</f>
        <v>2.5723472668810289E-2</v>
      </c>
    </row>
    <row r="242" spans="2:6" x14ac:dyDescent="0.35">
      <c r="B242" s="4" t="s">
        <v>34</v>
      </c>
      <c r="C242" s="3">
        <v>5</v>
      </c>
      <c r="D242" s="3">
        <f>VLOOKUP(B242,[2]Sheet1!$A$190:$B$216,2,FALSE)</f>
        <v>5</v>
      </c>
      <c r="E242" s="3">
        <f t="shared" si="14"/>
        <v>10</v>
      </c>
      <c r="F242" s="9">
        <f t="shared" ref="F242:F273" si="18">E242/311</f>
        <v>3.215434083601286E-2</v>
      </c>
    </row>
    <row r="243" spans="2:6" x14ac:dyDescent="0.35">
      <c r="B243" s="4" t="s">
        <v>0</v>
      </c>
      <c r="C243" s="3">
        <v>6</v>
      </c>
      <c r="D243" s="3">
        <f>VLOOKUP(B243,[2]Sheet1!$A$190:$B$216,2,FALSE)</f>
        <v>1</v>
      </c>
      <c r="E243" s="3">
        <f t="shared" si="14"/>
        <v>7</v>
      </c>
      <c r="F243" s="9">
        <f t="shared" si="18"/>
        <v>2.2508038585209004E-2</v>
      </c>
    </row>
    <row r="244" spans="2:6" x14ac:dyDescent="0.35">
      <c r="B244" s="4" t="s">
        <v>436</v>
      </c>
      <c r="C244" s="3">
        <v>2</v>
      </c>
      <c r="D244" s="3">
        <v>0</v>
      </c>
      <c r="E244" s="3">
        <f t="shared" si="14"/>
        <v>2</v>
      </c>
      <c r="F244" s="9">
        <f t="shared" si="18"/>
        <v>6.4308681672025723E-3</v>
      </c>
    </row>
    <row r="245" spans="2:6" x14ac:dyDescent="0.35">
      <c r="B245" s="4" t="s">
        <v>437</v>
      </c>
      <c r="C245" s="3">
        <v>8</v>
      </c>
      <c r="D245" s="3">
        <f>VLOOKUP(B245,[2]Sheet1!$A$190:$B$216,2,FALSE)</f>
        <v>7</v>
      </c>
      <c r="E245" s="3">
        <f t="shared" si="14"/>
        <v>15</v>
      </c>
      <c r="F245" s="9">
        <f t="shared" si="18"/>
        <v>4.8231511254019289E-2</v>
      </c>
    </row>
    <row r="246" spans="2:6" x14ac:dyDescent="0.35">
      <c r="B246" s="4" t="s">
        <v>20</v>
      </c>
      <c r="C246" s="3">
        <v>6</v>
      </c>
      <c r="D246" s="3">
        <f>VLOOKUP(B246,[2]Sheet1!$A$190:$B$216,2,FALSE)</f>
        <v>19</v>
      </c>
      <c r="E246" s="3">
        <f t="shared" si="14"/>
        <v>25</v>
      </c>
      <c r="F246" s="9">
        <f t="shared" si="18"/>
        <v>8.0385852090032156E-2</v>
      </c>
    </row>
    <row r="247" spans="2:6" x14ac:dyDescent="0.35">
      <c r="B247" s="4" t="s">
        <v>438</v>
      </c>
      <c r="C247" s="3">
        <v>21</v>
      </c>
      <c r="D247" s="3">
        <f>VLOOKUP(B247,[2]Sheet1!$A$190:$B$216,2,FALSE)</f>
        <v>14</v>
      </c>
      <c r="E247" s="3">
        <f t="shared" si="14"/>
        <v>35</v>
      </c>
      <c r="F247" s="9">
        <f t="shared" si="18"/>
        <v>0.11254019292604502</v>
      </c>
    </row>
    <row r="248" spans="2:6" x14ac:dyDescent="0.35">
      <c r="B248" s="4" t="s">
        <v>439</v>
      </c>
      <c r="C248" s="3">
        <v>5</v>
      </c>
      <c r="D248" s="3">
        <f>VLOOKUP(B248,[2]Sheet1!$A$190:$B$216,2,FALSE)</f>
        <v>3</v>
      </c>
      <c r="E248" s="3">
        <f t="shared" si="14"/>
        <v>8</v>
      </c>
      <c r="F248" s="9">
        <f t="shared" si="18"/>
        <v>2.5723472668810289E-2</v>
      </c>
    </row>
    <row r="249" spans="2:6" x14ac:dyDescent="0.35">
      <c r="B249" s="4" t="s">
        <v>15</v>
      </c>
      <c r="C249" s="3">
        <v>13</v>
      </c>
      <c r="D249" s="3">
        <f>VLOOKUP(B249,[2]Sheet1!$A$190:$B$216,2,FALSE)</f>
        <v>2</v>
      </c>
      <c r="E249" s="3">
        <f t="shared" si="14"/>
        <v>15</v>
      </c>
      <c r="F249" s="9">
        <f t="shared" si="18"/>
        <v>4.8231511254019289E-2</v>
      </c>
    </row>
    <row r="250" spans="2:6" x14ac:dyDescent="0.35">
      <c r="B250" s="4" t="s">
        <v>440</v>
      </c>
      <c r="C250" s="3">
        <v>1</v>
      </c>
      <c r="D250" s="3">
        <v>0</v>
      </c>
      <c r="E250" s="3">
        <f t="shared" si="14"/>
        <v>1</v>
      </c>
      <c r="F250" s="9">
        <f t="shared" si="18"/>
        <v>3.2154340836012861E-3</v>
      </c>
    </row>
    <row r="251" spans="2:6" x14ac:dyDescent="0.35">
      <c r="B251" s="4" t="s">
        <v>1</v>
      </c>
      <c r="C251" s="3">
        <v>7</v>
      </c>
      <c r="D251" s="3">
        <f>VLOOKUP(B251,[2]Sheet1!$A$190:$B$216,2,FALSE)</f>
        <v>3</v>
      </c>
      <c r="E251" s="3">
        <f t="shared" si="14"/>
        <v>10</v>
      </c>
      <c r="F251" s="9">
        <f t="shared" si="18"/>
        <v>3.215434083601286E-2</v>
      </c>
    </row>
    <row r="252" spans="2:6" x14ac:dyDescent="0.35">
      <c r="B252" s="4" t="s">
        <v>441</v>
      </c>
      <c r="C252" s="3">
        <v>5</v>
      </c>
      <c r="D252" s="3">
        <f>VLOOKUP(B252,[2]Sheet1!$A$190:$B$216,2,FALSE)</f>
        <v>8</v>
      </c>
      <c r="E252" s="3">
        <f t="shared" si="14"/>
        <v>13</v>
      </c>
      <c r="F252" s="9">
        <f t="shared" si="18"/>
        <v>4.1800643086816719E-2</v>
      </c>
    </row>
    <row r="253" spans="2:6" x14ac:dyDescent="0.35">
      <c r="B253" s="4" t="s">
        <v>442</v>
      </c>
      <c r="C253" s="3">
        <v>6</v>
      </c>
      <c r="D253" s="3">
        <f>VLOOKUP(B253,[2]Sheet1!$A$190:$B$216,2,FALSE)</f>
        <v>3</v>
      </c>
      <c r="E253" s="3">
        <f t="shared" si="14"/>
        <v>9</v>
      </c>
      <c r="F253" s="9">
        <f t="shared" si="18"/>
        <v>2.8938906752411574E-2</v>
      </c>
    </row>
    <row r="254" spans="2:6" x14ac:dyDescent="0.35">
      <c r="B254" s="4" t="s">
        <v>443</v>
      </c>
      <c r="C254" s="3">
        <v>10</v>
      </c>
      <c r="D254" s="3">
        <f>VLOOKUP(B254,[2]Sheet1!$A$190:$B$216,2,FALSE)</f>
        <v>11</v>
      </c>
      <c r="E254" s="3">
        <f t="shared" si="14"/>
        <v>21</v>
      </c>
      <c r="F254" s="9">
        <f t="shared" si="18"/>
        <v>6.7524115755627015E-2</v>
      </c>
    </row>
    <row r="255" spans="2:6" x14ac:dyDescent="0.35">
      <c r="B255" s="4" t="s">
        <v>31</v>
      </c>
      <c r="C255" s="3">
        <v>9</v>
      </c>
      <c r="D255" s="3">
        <f>VLOOKUP(B255,[2]Sheet1!$A$190:$B$216,2,FALSE)</f>
        <v>7</v>
      </c>
      <c r="E255" s="3">
        <f t="shared" si="14"/>
        <v>16</v>
      </c>
      <c r="F255" s="9">
        <f t="shared" si="18"/>
        <v>5.1446945337620578E-2</v>
      </c>
    </row>
    <row r="256" spans="2:6" x14ac:dyDescent="0.35">
      <c r="B256" s="4" t="s">
        <v>444</v>
      </c>
      <c r="C256" s="3">
        <v>4</v>
      </c>
      <c r="D256" s="3">
        <f>VLOOKUP(B256,[2]Sheet1!$A$190:$B$216,2,FALSE)</f>
        <v>2</v>
      </c>
      <c r="E256" s="3">
        <f t="shared" si="14"/>
        <v>6</v>
      </c>
      <c r="F256" s="9">
        <f t="shared" si="18"/>
        <v>1.9292604501607719E-2</v>
      </c>
    </row>
    <row r="257" spans="2:6" x14ac:dyDescent="0.35">
      <c r="B257" s="4" t="s">
        <v>2</v>
      </c>
      <c r="C257" s="3">
        <v>2</v>
      </c>
      <c r="D257" s="3">
        <v>0</v>
      </c>
      <c r="E257" s="3">
        <f t="shared" si="14"/>
        <v>2</v>
      </c>
      <c r="F257" s="9">
        <f t="shared" si="18"/>
        <v>6.4308681672025723E-3</v>
      </c>
    </row>
    <row r="258" spans="2:6" x14ac:dyDescent="0.35">
      <c r="B258" s="4" t="s">
        <v>54</v>
      </c>
      <c r="C258" s="3">
        <v>5</v>
      </c>
      <c r="D258" s="3">
        <f>VLOOKUP(B258,[2]Sheet1!$A$190:$B$216,2,FALSE)</f>
        <v>3</v>
      </c>
      <c r="E258" s="3">
        <f t="shared" si="14"/>
        <v>8</v>
      </c>
      <c r="F258" s="9">
        <f t="shared" si="18"/>
        <v>2.5723472668810289E-2</v>
      </c>
    </row>
    <row r="259" spans="2:6" x14ac:dyDescent="0.35">
      <c r="B259" s="4" t="s">
        <v>30</v>
      </c>
      <c r="C259" s="3">
        <v>11</v>
      </c>
      <c r="D259" s="3">
        <f>VLOOKUP(B259,[2]Sheet1!$A$190:$B$216,2,FALSE)</f>
        <v>5</v>
      </c>
      <c r="E259" s="3">
        <f t="shared" si="14"/>
        <v>16</v>
      </c>
      <c r="F259" s="9">
        <f t="shared" si="18"/>
        <v>5.1446945337620578E-2</v>
      </c>
    </row>
    <row r="260" spans="2:6" x14ac:dyDescent="0.35">
      <c r="B260" s="4" t="s">
        <v>446</v>
      </c>
      <c r="C260" s="3">
        <v>3</v>
      </c>
      <c r="D260" s="3">
        <f>VLOOKUP(B260,[2]Sheet1!$A$190:$B$216,2,FALSE)</f>
        <v>5</v>
      </c>
      <c r="E260" s="3">
        <f t="shared" ref="E260:E273" si="19">D260+C260</f>
        <v>8</v>
      </c>
      <c r="F260" s="9">
        <f t="shared" si="18"/>
        <v>2.5723472668810289E-2</v>
      </c>
    </row>
    <row r="261" spans="2:6" x14ac:dyDescent="0.35">
      <c r="B261" s="4" t="s">
        <v>447</v>
      </c>
      <c r="C261" s="3">
        <v>5</v>
      </c>
      <c r="D261" s="3">
        <v>0</v>
      </c>
      <c r="E261" s="3">
        <f t="shared" si="19"/>
        <v>5</v>
      </c>
      <c r="F261" s="9">
        <f t="shared" si="18"/>
        <v>1.607717041800643E-2</v>
      </c>
    </row>
    <row r="262" spans="2:6" x14ac:dyDescent="0.35">
      <c r="B262" s="4" t="s">
        <v>448</v>
      </c>
      <c r="C262" s="3">
        <v>2</v>
      </c>
      <c r="D262" s="3">
        <f>VLOOKUP(B262,[2]Sheet1!$A$190:$B$216,2,FALSE)</f>
        <v>5</v>
      </c>
      <c r="E262" s="3">
        <f t="shared" si="19"/>
        <v>7</v>
      </c>
      <c r="F262" s="9">
        <f t="shared" si="18"/>
        <v>2.2508038585209004E-2</v>
      </c>
    </row>
    <row r="263" spans="2:6" x14ac:dyDescent="0.35">
      <c r="B263" s="4" t="s">
        <v>18</v>
      </c>
      <c r="C263" s="3">
        <v>2</v>
      </c>
      <c r="D263" s="3">
        <f>VLOOKUP(B263,[2]Sheet1!$A$190:$B$216,2,FALSE)</f>
        <v>4</v>
      </c>
      <c r="E263" s="3">
        <f t="shared" si="19"/>
        <v>6</v>
      </c>
      <c r="F263" s="9">
        <f t="shared" si="18"/>
        <v>1.9292604501607719E-2</v>
      </c>
    </row>
    <row r="264" spans="2:6" x14ac:dyDescent="0.35">
      <c r="B264" s="4" t="s">
        <v>3</v>
      </c>
      <c r="C264" s="3">
        <v>2</v>
      </c>
      <c r="D264" s="3">
        <v>0</v>
      </c>
      <c r="E264" s="3">
        <f t="shared" si="19"/>
        <v>2</v>
      </c>
      <c r="F264" s="9">
        <f t="shared" si="18"/>
        <v>6.4308681672025723E-3</v>
      </c>
    </row>
    <row r="265" spans="2:6" x14ac:dyDescent="0.35">
      <c r="B265" s="4" t="s">
        <v>449</v>
      </c>
      <c r="C265" s="3">
        <v>3</v>
      </c>
      <c r="D265" s="3">
        <v>0</v>
      </c>
      <c r="E265" s="3">
        <f t="shared" si="19"/>
        <v>3</v>
      </c>
      <c r="F265" s="9">
        <f t="shared" si="18"/>
        <v>9.6463022508038593E-3</v>
      </c>
    </row>
    <row r="266" spans="2:6" x14ac:dyDescent="0.35">
      <c r="B266" s="4" t="s">
        <v>4</v>
      </c>
      <c r="C266" s="3">
        <v>1</v>
      </c>
      <c r="D266" s="3">
        <f>VLOOKUP(B266,[2]Sheet1!$A$190:$B$216,2,FALSE)</f>
        <v>4</v>
      </c>
      <c r="E266" s="3">
        <f t="shared" si="19"/>
        <v>5</v>
      </c>
      <c r="F266" s="9">
        <f t="shared" si="18"/>
        <v>1.607717041800643E-2</v>
      </c>
    </row>
    <row r="267" spans="2:6" x14ac:dyDescent="0.35">
      <c r="B267" s="4" t="s">
        <v>6</v>
      </c>
      <c r="C267" s="3">
        <v>5</v>
      </c>
      <c r="D267" s="3">
        <f>VLOOKUP(B267,[2]Sheet1!$A$190:$B$216,2,FALSE)</f>
        <v>8</v>
      </c>
      <c r="E267" s="3">
        <f t="shared" si="19"/>
        <v>13</v>
      </c>
      <c r="F267" s="9">
        <f t="shared" si="18"/>
        <v>4.1800643086816719E-2</v>
      </c>
    </row>
    <row r="268" spans="2:6" x14ac:dyDescent="0.35">
      <c r="B268" s="4" t="s">
        <v>450</v>
      </c>
      <c r="C268" s="3">
        <v>7</v>
      </c>
      <c r="D268" s="3">
        <f>VLOOKUP(B268,[2]Sheet1!$A$190:$B$216,2,FALSE)</f>
        <v>2</v>
      </c>
      <c r="E268" s="3">
        <f t="shared" si="19"/>
        <v>9</v>
      </c>
      <c r="F268" s="9">
        <f t="shared" si="18"/>
        <v>2.8938906752411574E-2</v>
      </c>
    </row>
    <row r="269" spans="2:6" x14ac:dyDescent="0.35">
      <c r="B269" s="4" t="s">
        <v>451</v>
      </c>
      <c r="C269" s="3">
        <v>1</v>
      </c>
      <c r="D269" s="3">
        <v>0</v>
      </c>
      <c r="E269" s="3">
        <f t="shared" si="19"/>
        <v>1</v>
      </c>
      <c r="F269" s="9">
        <f t="shared" si="18"/>
        <v>3.2154340836012861E-3</v>
      </c>
    </row>
    <row r="270" spans="2:6" x14ac:dyDescent="0.35">
      <c r="B270" s="4" t="s">
        <v>453</v>
      </c>
      <c r="C270" s="3">
        <v>7</v>
      </c>
      <c r="D270" s="3">
        <v>0</v>
      </c>
      <c r="E270" s="3">
        <f t="shared" si="19"/>
        <v>7</v>
      </c>
      <c r="F270" s="9">
        <f t="shared" si="18"/>
        <v>2.2508038585209004E-2</v>
      </c>
    </row>
    <row r="271" spans="2:6" x14ac:dyDescent="0.35">
      <c r="B271" s="4" t="s">
        <v>11</v>
      </c>
      <c r="C271" s="3">
        <v>8</v>
      </c>
      <c r="D271" s="3">
        <f>VLOOKUP(B271,[2]Sheet1!$A$190:$B$216,2,FALSE)</f>
        <v>1</v>
      </c>
      <c r="E271" s="3">
        <f t="shared" si="19"/>
        <v>9</v>
      </c>
      <c r="F271" s="9">
        <f t="shared" si="18"/>
        <v>2.8938906752411574E-2</v>
      </c>
    </row>
    <row r="272" spans="2:6" x14ac:dyDescent="0.35">
      <c r="B272" s="4" t="s">
        <v>454</v>
      </c>
      <c r="C272" s="3">
        <v>1</v>
      </c>
      <c r="D272" s="3">
        <v>0</v>
      </c>
      <c r="E272" s="3">
        <f t="shared" si="19"/>
        <v>1</v>
      </c>
      <c r="F272" s="9">
        <f t="shared" si="18"/>
        <v>3.2154340836012861E-3</v>
      </c>
    </row>
    <row r="273" spans="2:6" x14ac:dyDescent="0.35">
      <c r="B273" s="4" t="s">
        <v>452</v>
      </c>
      <c r="C273" s="3">
        <v>7</v>
      </c>
      <c r="D273" s="3">
        <f>VLOOKUP(B273,[2]Sheet1!$A$190:$B$216,2,FALSE)</f>
        <v>1</v>
      </c>
      <c r="E273" s="3">
        <f t="shared" si="19"/>
        <v>8</v>
      </c>
      <c r="F273" s="9">
        <f t="shared" si="18"/>
        <v>2.5723472668810289E-2</v>
      </c>
    </row>
  </sheetData>
  <autoFilter ref="A1:F273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20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35"/>
  <cols>
    <col min="1" max="1" width="13" style="2" bestFit="1" customWidth="1"/>
    <col min="2" max="2" width="37.77734375" style="2" bestFit="1" customWidth="1"/>
    <col min="3" max="3" width="19.77734375" style="2" bestFit="1" customWidth="1"/>
    <col min="4" max="4" width="28.88671875" style="2" bestFit="1" customWidth="1"/>
    <col min="5" max="5" width="28.88671875" style="2" customWidth="1"/>
    <col min="6" max="6" width="12.77734375" style="2" bestFit="1" customWidth="1"/>
  </cols>
  <sheetData>
    <row r="1" spans="1:6" ht="31.8" customHeight="1" x14ac:dyDescent="0.3">
      <c r="A1" s="7" t="s">
        <v>429</v>
      </c>
      <c r="B1" s="7" t="s">
        <v>458</v>
      </c>
      <c r="C1" s="7" t="s">
        <v>459</v>
      </c>
      <c r="D1" s="7" t="s">
        <v>460</v>
      </c>
      <c r="E1" s="7" t="s">
        <v>457</v>
      </c>
      <c r="F1" s="7" t="s">
        <v>430</v>
      </c>
    </row>
    <row r="2" spans="1:6" x14ac:dyDescent="0.35">
      <c r="A2" s="17" t="s">
        <v>461</v>
      </c>
      <c r="B2" s="12" t="s">
        <v>462</v>
      </c>
      <c r="C2" s="13">
        <f>SUM(C3:C156)</f>
        <v>228</v>
      </c>
      <c r="D2" s="13">
        <f t="shared" ref="D2:E2" si="0">SUM(D3:D156)</f>
        <v>31</v>
      </c>
      <c r="E2" s="13">
        <f t="shared" si="0"/>
        <v>259</v>
      </c>
      <c r="F2" s="12"/>
    </row>
    <row r="3" spans="1:6" x14ac:dyDescent="0.35">
      <c r="B3" s="4" t="s">
        <v>127</v>
      </c>
      <c r="C3" s="3">
        <v>1</v>
      </c>
      <c r="D3" s="2">
        <v>1</v>
      </c>
      <c r="E3" s="2">
        <f>C3+D3</f>
        <v>2</v>
      </c>
      <c r="F3" s="9">
        <f>E3/259</f>
        <v>7.7220077220077222E-3</v>
      </c>
    </row>
    <row r="4" spans="1:6" x14ac:dyDescent="0.35">
      <c r="B4" s="4" t="s">
        <v>319</v>
      </c>
      <c r="C4" s="3">
        <v>1</v>
      </c>
      <c r="D4" s="2">
        <v>0</v>
      </c>
      <c r="E4" s="2">
        <f t="shared" ref="E4:E67" si="1">C4+D4</f>
        <v>1</v>
      </c>
      <c r="F4" s="9">
        <f>E4/259</f>
        <v>3.8610038610038611E-3</v>
      </c>
    </row>
    <row r="5" spans="1:6" x14ac:dyDescent="0.35">
      <c r="B5" s="4" t="s">
        <v>184</v>
      </c>
      <c r="C5" s="3">
        <v>3</v>
      </c>
      <c r="D5" s="2">
        <v>1</v>
      </c>
      <c r="E5" s="2">
        <f t="shared" si="1"/>
        <v>4</v>
      </c>
      <c r="F5" s="9">
        <v>1.5444015444015444E-2</v>
      </c>
    </row>
    <row r="6" spans="1:6" x14ac:dyDescent="0.35">
      <c r="B6" s="4" t="s">
        <v>161</v>
      </c>
      <c r="C6" s="3">
        <v>1</v>
      </c>
      <c r="D6" s="2">
        <v>0</v>
      </c>
      <c r="E6" s="2">
        <f t="shared" si="1"/>
        <v>1</v>
      </c>
      <c r="F6" s="9">
        <v>3.8610038610038611E-3</v>
      </c>
    </row>
    <row r="7" spans="1:6" x14ac:dyDescent="0.35">
      <c r="B7" s="4" t="s">
        <v>340</v>
      </c>
      <c r="C7" s="3">
        <v>1</v>
      </c>
      <c r="D7" s="2">
        <v>0</v>
      </c>
      <c r="E7" s="2">
        <f t="shared" si="1"/>
        <v>1</v>
      </c>
      <c r="F7" s="9">
        <v>3.8610038610038611E-3</v>
      </c>
    </row>
    <row r="8" spans="1:6" x14ac:dyDescent="0.35">
      <c r="B8" s="4" t="s">
        <v>395</v>
      </c>
      <c r="C8" s="3">
        <v>1</v>
      </c>
      <c r="D8" s="2">
        <v>0</v>
      </c>
      <c r="E8" s="2">
        <f t="shared" si="1"/>
        <v>1</v>
      </c>
      <c r="F8" s="9">
        <v>3.8610038610038611E-3</v>
      </c>
    </row>
    <row r="9" spans="1:6" x14ac:dyDescent="0.35">
      <c r="B9" s="4" t="s">
        <v>218</v>
      </c>
      <c r="C9" s="3">
        <v>1</v>
      </c>
      <c r="D9" s="2">
        <v>0</v>
      </c>
      <c r="E9" s="2">
        <f t="shared" si="1"/>
        <v>1</v>
      </c>
      <c r="F9" s="9">
        <v>3.8610038610038611E-3</v>
      </c>
    </row>
    <row r="10" spans="1:6" x14ac:dyDescent="0.35">
      <c r="B10" s="4" t="s">
        <v>196</v>
      </c>
      <c r="C10" s="3">
        <v>2</v>
      </c>
      <c r="D10" s="2">
        <v>0</v>
      </c>
      <c r="E10" s="2">
        <f t="shared" si="1"/>
        <v>2</v>
      </c>
      <c r="F10" s="9">
        <v>7.7220077220077222E-3</v>
      </c>
    </row>
    <row r="11" spans="1:6" x14ac:dyDescent="0.35">
      <c r="B11" s="4" t="s">
        <v>247</v>
      </c>
      <c r="C11" s="3">
        <v>1</v>
      </c>
      <c r="D11" s="2">
        <v>0</v>
      </c>
      <c r="E11" s="2">
        <f t="shared" si="1"/>
        <v>1</v>
      </c>
      <c r="F11" s="9">
        <v>3.8610038610038611E-3</v>
      </c>
    </row>
    <row r="12" spans="1:6" x14ac:dyDescent="0.35">
      <c r="B12" s="4" t="s">
        <v>288</v>
      </c>
      <c r="C12" s="3">
        <v>1</v>
      </c>
      <c r="D12" s="2">
        <v>0</v>
      </c>
      <c r="E12" s="2">
        <f t="shared" si="1"/>
        <v>1</v>
      </c>
      <c r="F12" s="9">
        <v>3.8610038610038611E-3</v>
      </c>
    </row>
    <row r="13" spans="1:6" x14ac:dyDescent="0.35">
      <c r="B13" s="4" t="s">
        <v>46</v>
      </c>
      <c r="C13" s="3">
        <v>1</v>
      </c>
      <c r="D13" s="2">
        <v>0</v>
      </c>
      <c r="E13" s="2">
        <f t="shared" si="1"/>
        <v>1</v>
      </c>
      <c r="F13" s="9">
        <v>3.8610038610038611E-3</v>
      </c>
    </row>
    <row r="14" spans="1:6" x14ac:dyDescent="0.35">
      <c r="B14" s="4" t="s">
        <v>245</v>
      </c>
      <c r="C14" s="3">
        <v>3</v>
      </c>
      <c r="D14" s="2">
        <v>0</v>
      </c>
      <c r="E14" s="2">
        <f t="shared" si="1"/>
        <v>3</v>
      </c>
      <c r="F14" s="9">
        <v>1.1583011583011582E-2</v>
      </c>
    </row>
    <row r="15" spans="1:6" x14ac:dyDescent="0.35">
      <c r="B15" s="4" t="s">
        <v>287</v>
      </c>
      <c r="C15" s="3">
        <v>2</v>
      </c>
      <c r="D15" s="2">
        <v>0</v>
      </c>
      <c r="E15" s="2">
        <f t="shared" si="1"/>
        <v>2</v>
      </c>
      <c r="F15" s="9">
        <v>7.7220077220077222E-3</v>
      </c>
    </row>
    <row r="16" spans="1:6" x14ac:dyDescent="0.35">
      <c r="B16" s="4" t="s">
        <v>146</v>
      </c>
      <c r="C16" s="3">
        <v>1</v>
      </c>
      <c r="D16" s="2">
        <v>0</v>
      </c>
      <c r="E16" s="2">
        <f t="shared" si="1"/>
        <v>1</v>
      </c>
      <c r="F16" s="9">
        <v>3.8610038610038611E-3</v>
      </c>
    </row>
    <row r="17" spans="2:6" x14ac:dyDescent="0.35">
      <c r="B17" s="4" t="s">
        <v>295</v>
      </c>
      <c r="C17" s="3">
        <v>1</v>
      </c>
      <c r="D17" s="2">
        <v>1</v>
      </c>
      <c r="E17" s="2">
        <f t="shared" si="1"/>
        <v>2</v>
      </c>
      <c r="F17" s="9">
        <v>7.7220077220077222E-3</v>
      </c>
    </row>
    <row r="18" spans="2:6" x14ac:dyDescent="0.35">
      <c r="B18" s="4" t="s">
        <v>221</v>
      </c>
      <c r="C18" s="3">
        <v>1</v>
      </c>
      <c r="D18" s="2">
        <v>1</v>
      </c>
      <c r="E18" s="2">
        <f t="shared" si="1"/>
        <v>2</v>
      </c>
      <c r="F18" s="9">
        <v>7.7220077220077222E-3</v>
      </c>
    </row>
    <row r="19" spans="2:6" x14ac:dyDescent="0.35">
      <c r="B19" s="4" t="s">
        <v>222</v>
      </c>
      <c r="C19" s="3">
        <v>1</v>
      </c>
      <c r="D19" s="2">
        <v>0</v>
      </c>
      <c r="E19" s="2">
        <f t="shared" si="1"/>
        <v>1</v>
      </c>
      <c r="F19" s="9">
        <v>3.8610038610038611E-3</v>
      </c>
    </row>
    <row r="20" spans="2:6" x14ac:dyDescent="0.35">
      <c r="B20" s="4" t="s">
        <v>378</v>
      </c>
      <c r="C20" s="3">
        <v>4</v>
      </c>
      <c r="D20" s="2">
        <v>0</v>
      </c>
      <c r="E20" s="2">
        <f t="shared" si="1"/>
        <v>4</v>
      </c>
      <c r="F20" s="9">
        <v>1.5444015444015444E-2</v>
      </c>
    </row>
    <row r="21" spans="2:6" x14ac:dyDescent="0.35">
      <c r="B21" s="4" t="s">
        <v>250</v>
      </c>
      <c r="C21" s="3">
        <v>3</v>
      </c>
      <c r="D21" s="2">
        <v>0</v>
      </c>
      <c r="E21" s="2">
        <f t="shared" si="1"/>
        <v>3</v>
      </c>
      <c r="F21" s="9">
        <v>1.1583011583011582E-2</v>
      </c>
    </row>
    <row r="22" spans="2:6" x14ac:dyDescent="0.35">
      <c r="B22" s="4" t="s">
        <v>129</v>
      </c>
      <c r="C22" s="3">
        <v>1</v>
      </c>
      <c r="D22" s="2">
        <v>1</v>
      </c>
      <c r="E22" s="2">
        <f t="shared" si="1"/>
        <v>2</v>
      </c>
      <c r="F22" s="9">
        <v>7.7220077220077222E-3</v>
      </c>
    </row>
    <row r="23" spans="2:6" x14ac:dyDescent="0.35">
      <c r="B23" s="4" t="s">
        <v>267</v>
      </c>
      <c r="C23" s="3">
        <v>3</v>
      </c>
      <c r="D23" s="2">
        <v>0</v>
      </c>
      <c r="E23" s="2">
        <f t="shared" si="1"/>
        <v>3</v>
      </c>
      <c r="F23" s="9">
        <v>1.1583011583011582E-2</v>
      </c>
    </row>
    <row r="24" spans="2:6" x14ac:dyDescent="0.35">
      <c r="B24" s="4" t="s">
        <v>209</v>
      </c>
      <c r="C24" s="3">
        <v>1</v>
      </c>
      <c r="D24" s="2">
        <v>0</v>
      </c>
      <c r="E24" s="2">
        <f t="shared" si="1"/>
        <v>1</v>
      </c>
      <c r="F24" s="9">
        <v>3.8610038610038611E-3</v>
      </c>
    </row>
    <row r="25" spans="2:6" x14ac:dyDescent="0.35">
      <c r="B25" s="4" t="s">
        <v>349</v>
      </c>
      <c r="C25" s="3">
        <v>1</v>
      </c>
      <c r="D25" s="2">
        <v>0</v>
      </c>
      <c r="E25" s="2">
        <f t="shared" si="1"/>
        <v>1</v>
      </c>
      <c r="F25" s="9">
        <v>3.8610038610038611E-3</v>
      </c>
    </row>
    <row r="26" spans="2:6" x14ac:dyDescent="0.35">
      <c r="B26" s="4" t="s">
        <v>132</v>
      </c>
      <c r="C26" s="3">
        <v>1</v>
      </c>
      <c r="D26" s="2">
        <v>0</v>
      </c>
      <c r="E26" s="2">
        <f t="shared" si="1"/>
        <v>1</v>
      </c>
      <c r="F26" s="9">
        <v>3.8610038610038611E-3</v>
      </c>
    </row>
    <row r="27" spans="2:6" x14ac:dyDescent="0.35">
      <c r="B27" s="4" t="s">
        <v>382</v>
      </c>
      <c r="C27" s="3">
        <v>1</v>
      </c>
      <c r="D27" s="2">
        <v>0</v>
      </c>
      <c r="E27" s="2">
        <f t="shared" si="1"/>
        <v>1</v>
      </c>
      <c r="F27" s="9">
        <v>3.8610038610038611E-3</v>
      </c>
    </row>
    <row r="28" spans="2:6" x14ac:dyDescent="0.35">
      <c r="B28" s="4" t="s">
        <v>56</v>
      </c>
      <c r="C28" s="3">
        <v>3</v>
      </c>
      <c r="D28" s="2">
        <v>0</v>
      </c>
      <c r="E28" s="2">
        <f t="shared" si="1"/>
        <v>3</v>
      </c>
      <c r="F28" s="9">
        <v>1.1583011583011582E-2</v>
      </c>
    </row>
    <row r="29" spans="2:6" x14ac:dyDescent="0.35">
      <c r="B29" s="4" t="s">
        <v>359</v>
      </c>
      <c r="C29" s="3">
        <v>1</v>
      </c>
      <c r="D29" s="2">
        <v>0</v>
      </c>
      <c r="E29" s="2">
        <f t="shared" si="1"/>
        <v>1</v>
      </c>
      <c r="F29" s="9">
        <v>3.8610038610038611E-3</v>
      </c>
    </row>
    <row r="30" spans="2:6" x14ac:dyDescent="0.35">
      <c r="B30" s="4" t="s">
        <v>131</v>
      </c>
      <c r="C30" s="3">
        <v>1</v>
      </c>
      <c r="D30" s="2">
        <v>0</v>
      </c>
      <c r="E30" s="2">
        <f t="shared" si="1"/>
        <v>1</v>
      </c>
      <c r="F30" s="9">
        <v>3.8610038610038611E-3</v>
      </c>
    </row>
    <row r="31" spans="2:6" x14ac:dyDescent="0.35">
      <c r="B31" s="4" t="s">
        <v>220</v>
      </c>
      <c r="C31" s="3">
        <v>1</v>
      </c>
      <c r="D31" s="2">
        <v>1</v>
      </c>
      <c r="E31" s="2">
        <f t="shared" si="1"/>
        <v>2</v>
      </c>
      <c r="F31" s="9">
        <v>7.7220077220077222E-3</v>
      </c>
    </row>
    <row r="32" spans="2:6" x14ac:dyDescent="0.35">
      <c r="B32" s="4" t="s">
        <v>244</v>
      </c>
      <c r="C32" s="3">
        <v>1</v>
      </c>
      <c r="D32" s="2">
        <v>0</v>
      </c>
      <c r="E32" s="2">
        <f t="shared" si="1"/>
        <v>1</v>
      </c>
      <c r="F32" s="9">
        <v>3.8610038610038611E-3</v>
      </c>
    </row>
    <row r="33" spans="2:6" x14ac:dyDescent="0.35">
      <c r="B33" s="4" t="s">
        <v>270</v>
      </c>
      <c r="C33" s="3">
        <v>2</v>
      </c>
      <c r="D33" s="2">
        <v>0</v>
      </c>
      <c r="E33" s="2">
        <f t="shared" si="1"/>
        <v>2</v>
      </c>
      <c r="F33" s="9">
        <v>7.7220077220077222E-3</v>
      </c>
    </row>
    <row r="34" spans="2:6" x14ac:dyDescent="0.35">
      <c r="B34" s="4" t="s">
        <v>301</v>
      </c>
      <c r="C34" s="3">
        <v>1</v>
      </c>
      <c r="D34" s="2">
        <v>0</v>
      </c>
      <c r="E34" s="2">
        <f t="shared" si="1"/>
        <v>1</v>
      </c>
      <c r="F34" s="9">
        <v>3.8610038610038611E-3</v>
      </c>
    </row>
    <row r="35" spans="2:6" x14ac:dyDescent="0.35">
      <c r="B35" s="4" t="s">
        <v>178</v>
      </c>
      <c r="C35" s="3">
        <v>1</v>
      </c>
      <c r="D35" s="2">
        <v>0</v>
      </c>
      <c r="E35" s="2">
        <f t="shared" si="1"/>
        <v>1</v>
      </c>
      <c r="F35" s="9">
        <v>3.8610038610038611E-3</v>
      </c>
    </row>
    <row r="36" spans="2:6" x14ac:dyDescent="0.35">
      <c r="B36" s="4" t="s">
        <v>276</v>
      </c>
      <c r="C36" s="3">
        <v>1</v>
      </c>
      <c r="D36" s="2">
        <v>0</v>
      </c>
      <c r="E36" s="2">
        <f t="shared" si="1"/>
        <v>1</v>
      </c>
      <c r="F36" s="9">
        <v>3.8610038610038611E-3</v>
      </c>
    </row>
    <row r="37" spans="2:6" x14ac:dyDescent="0.35">
      <c r="B37" s="4" t="s">
        <v>165</v>
      </c>
      <c r="C37" s="3">
        <v>1</v>
      </c>
      <c r="D37" s="2">
        <v>0</v>
      </c>
      <c r="E37" s="2">
        <f t="shared" si="1"/>
        <v>1</v>
      </c>
      <c r="F37" s="9">
        <v>3.8610038610038611E-3</v>
      </c>
    </row>
    <row r="38" spans="2:6" x14ac:dyDescent="0.35">
      <c r="B38" s="4" t="s">
        <v>106</v>
      </c>
      <c r="C38" s="3">
        <v>2</v>
      </c>
      <c r="D38" s="2">
        <v>0</v>
      </c>
      <c r="E38" s="2">
        <f t="shared" si="1"/>
        <v>2</v>
      </c>
      <c r="F38" s="9">
        <v>7.7220077220077222E-3</v>
      </c>
    </row>
    <row r="39" spans="2:6" x14ac:dyDescent="0.35">
      <c r="B39" s="4" t="s">
        <v>208</v>
      </c>
      <c r="C39" s="3">
        <v>1</v>
      </c>
      <c r="D39" s="2">
        <v>0</v>
      </c>
      <c r="E39" s="2">
        <f t="shared" si="1"/>
        <v>1</v>
      </c>
      <c r="F39" s="9">
        <v>3.8610038610038611E-3</v>
      </c>
    </row>
    <row r="40" spans="2:6" x14ac:dyDescent="0.35">
      <c r="B40" s="4" t="s">
        <v>213</v>
      </c>
      <c r="C40" s="3">
        <v>1</v>
      </c>
      <c r="D40" s="2">
        <v>0</v>
      </c>
      <c r="E40" s="2">
        <f t="shared" si="1"/>
        <v>1</v>
      </c>
      <c r="F40" s="9">
        <v>3.8610038610038611E-3</v>
      </c>
    </row>
    <row r="41" spans="2:6" x14ac:dyDescent="0.35">
      <c r="B41" s="4" t="s">
        <v>254</v>
      </c>
      <c r="C41" s="3">
        <v>2</v>
      </c>
      <c r="D41" s="2">
        <v>0</v>
      </c>
      <c r="E41" s="2">
        <f t="shared" si="1"/>
        <v>2</v>
      </c>
      <c r="F41" s="9">
        <v>7.7220077220077222E-3</v>
      </c>
    </row>
    <row r="42" spans="2:6" x14ac:dyDescent="0.35">
      <c r="B42" s="4" t="s">
        <v>321</v>
      </c>
      <c r="C42" s="3">
        <v>2</v>
      </c>
      <c r="D42" s="2">
        <v>0</v>
      </c>
      <c r="E42" s="2">
        <f t="shared" si="1"/>
        <v>2</v>
      </c>
      <c r="F42" s="9">
        <v>7.7220077220077222E-3</v>
      </c>
    </row>
    <row r="43" spans="2:6" x14ac:dyDescent="0.35">
      <c r="B43" s="4" t="s">
        <v>384</v>
      </c>
      <c r="C43" s="3">
        <v>2</v>
      </c>
      <c r="D43" s="2">
        <v>0</v>
      </c>
      <c r="E43" s="2">
        <f t="shared" si="1"/>
        <v>2</v>
      </c>
      <c r="F43" s="9">
        <v>7.7220077220077222E-3</v>
      </c>
    </row>
    <row r="44" spans="2:6" x14ac:dyDescent="0.35">
      <c r="B44" s="4" t="s">
        <v>88</v>
      </c>
      <c r="C44" s="3">
        <v>1</v>
      </c>
      <c r="D44" s="2">
        <v>0</v>
      </c>
      <c r="E44" s="2">
        <f t="shared" si="1"/>
        <v>1</v>
      </c>
      <c r="F44" s="9">
        <v>3.8610038610038611E-3</v>
      </c>
    </row>
    <row r="45" spans="2:6" x14ac:dyDescent="0.35">
      <c r="B45" s="4" t="s">
        <v>123</v>
      </c>
      <c r="C45" s="3">
        <v>1</v>
      </c>
      <c r="D45" s="2">
        <v>0</v>
      </c>
      <c r="E45" s="2">
        <f t="shared" si="1"/>
        <v>1</v>
      </c>
      <c r="F45" s="9">
        <v>3.8610038610038611E-3</v>
      </c>
    </row>
    <row r="46" spans="2:6" x14ac:dyDescent="0.35">
      <c r="B46" s="4" t="s">
        <v>313</v>
      </c>
      <c r="C46" s="3">
        <v>1</v>
      </c>
      <c r="D46" s="2">
        <v>0</v>
      </c>
      <c r="E46" s="2">
        <f t="shared" si="1"/>
        <v>1</v>
      </c>
      <c r="F46" s="9">
        <v>3.8610038610038611E-3</v>
      </c>
    </row>
    <row r="47" spans="2:6" x14ac:dyDescent="0.35">
      <c r="B47" s="4" t="s">
        <v>159</v>
      </c>
      <c r="C47" s="3">
        <v>2</v>
      </c>
      <c r="D47" s="2">
        <v>3</v>
      </c>
      <c r="E47" s="2">
        <f t="shared" si="1"/>
        <v>5</v>
      </c>
      <c r="F47" s="9">
        <v>1.9305019305019305E-2</v>
      </c>
    </row>
    <row r="48" spans="2:6" x14ac:dyDescent="0.35">
      <c r="B48" s="4" t="s">
        <v>304</v>
      </c>
      <c r="C48" s="3">
        <v>1</v>
      </c>
      <c r="D48" s="2">
        <v>0</v>
      </c>
      <c r="E48" s="2">
        <f t="shared" si="1"/>
        <v>1</v>
      </c>
      <c r="F48" s="9">
        <v>3.8610038610038611E-3</v>
      </c>
    </row>
    <row r="49" spans="2:6" x14ac:dyDescent="0.35">
      <c r="B49" s="4" t="s">
        <v>335</v>
      </c>
      <c r="C49" s="3">
        <v>2</v>
      </c>
      <c r="D49" s="2">
        <v>0</v>
      </c>
      <c r="E49" s="2">
        <f t="shared" si="1"/>
        <v>2</v>
      </c>
      <c r="F49" s="9">
        <v>7.7220077220077222E-3</v>
      </c>
    </row>
    <row r="50" spans="2:6" x14ac:dyDescent="0.35">
      <c r="B50" s="4" t="s">
        <v>259</v>
      </c>
      <c r="C50" s="3">
        <v>2</v>
      </c>
      <c r="D50" s="2">
        <v>0</v>
      </c>
      <c r="E50" s="2">
        <f t="shared" si="1"/>
        <v>2</v>
      </c>
      <c r="F50" s="9">
        <v>7.7220077220077222E-3</v>
      </c>
    </row>
    <row r="51" spans="2:6" x14ac:dyDescent="0.35">
      <c r="B51" s="4" t="s">
        <v>77</v>
      </c>
      <c r="C51" s="3">
        <v>2</v>
      </c>
      <c r="D51" s="2">
        <v>0</v>
      </c>
      <c r="E51" s="2">
        <f t="shared" si="1"/>
        <v>2</v>
      </c>
      <c r="F51" s="9">
        <v>7.7220077220077222E-3</v>
      </c>
    </row>
    <row r="52" spans="2:6" x14ac:dyDescent="0.35">
      <c r="B52" s="4" t="s">
        <v>107</v>
      </c>
      <c r="C52" s="3">
        <v>1</v>
      </c>
      <c r="D52" s="2">
        <v>2</v>
      </c>
      <c r="E52" s="2">
        <f t="shared" si="1"/>
        <v>3</v>
      </c>
      <c r="F52" s="9">
        <v>1.1583011583011582E-2</v>
      </c>
    </row>
    <row r="53" spans="2:6" x14ac:dyDescent="0.35">
      <c r="B53" s="4" t="s">
        <v>64</v>
      </c>
      <c r="C53" s="3">
        <v>2</v>
      </c>
      <c r="D53" s="2">
        <v>0</v>
      </c>
      <c r="E53" s="2">
        <f t="shared" si="1"/>
        <v>2</v>
      </c>
      <c r="F53" s="9">
        <v>7.7220077220077222E-3</v>
      </c>
    </row>
    <row r="54" spans="2:6" x14ac:dyDescent="0.35">
      <c r="B54" s="4" t="s">
        <v>183</v>
      </c>
      <c r="C54" s="3">
        <v>1</v>
      </c>
      <c r="D54" s="2">
        <v>0</v>
      </c>
      <c r="E54" s="2">
        <f t="shared" si="1"/>
        <v>1</v>
      </c>
      <c r="F54" s="9">
        <v>3.8610038610038611E-3</v>
      </c>
    </row>
    <row r="55" spans="2:6" x14ac:dyDescent="0.35">
      <c r="B55" s="4" t="s">
        <v>130</v>
      </c>
      <c r="C55" s="3">
        <v>1</v>
      </c>
      <c r="D55" s="2">
        <v>0</v>
      </c>
      <c r="E55" s="2">
        <f t="shared" si="1"/>
        <v>1</v>
      </c>
      <c r="F55" s="9">
        <v>3.8610038610038611E-3</v>
      </c>
    </row>
    <row r="56" spans="2:6" x14ac:dyDescent="0.35">
      <c r="B56" s="4" t="s">
        <v>266</v>
      </c>
      <c r="C56" s="3">
        <v>2</v>
      </c>
      <c r="D56" s="2">
        <v>0</v>
      </c>
      <c r="E56" s="2">
        <f t="shared" si="1"/>
        <v>2</v>
      </c>
      <c r="F56" s="9">
        <v>7.7220077220077222E-3</v>
      </c>
    </row>
    <row r="57" spans="2:6" x14ac:dyDescent="0.35">
      <c r="B57" s="4" t="s">
        <v>60</v>
      </c>
      <c r="C57" s="3">
        <v>2</v>
      </c>
      <c r="D57" s="2">
        <v>0</v>
      </c>
      <c r="E57" s="2">
        <f t="shared" si="1"/>
        <v>2</v>
      </c>
      <c r="F57" s="9">
        <v>7.7220077220077222E-3</v>
      </c>
    </row>
    <row r="58" spans="2:6" x14ac:dyDescent="0.35">
      <c r="B58" s="4" t="s">
        <v>251</v>
      </c>
      <c r="C58" s="3">
        <v>1</v>
      </c>
      <c r="D58" s="2">
        <v>0</v>
      </c>
      <c r="E58" s="2">
        <f t="shared" si="1"/>
        <v>1</v>
      </c>
      <c r="F58" s="9">
        <v>3.8610038610038611E-3</v>
      </c>
    </row>
    <row r="59" spans="2:6" x14ac:dyDescent="0.35">
      <c r="B59" s="4" t="s">
        <v>135</v>
      </c>
      <c r="C59" s="3">
        <v>1</v>
      </c>
      <c r="D59" s="2">
        <v>2</v>
      </c>
      <c r="E59" s="2">
        <f t="shared" si="1"/>
        <v>3</v>
      </c>
      <c r="F59" s="9">
        <v>1.1583011583011582E-2</v>
      </c>
    </row>
    <row r="60" spans="2:6" x14ac:dyDescent="0.35">
      <c r="B60" s="4" t="s">
        <v>100</v>
      </c>
      <c r="C60" s="3">
        <v>1</v>
      </c>
      <c r="D60" s="2">
        <v>1</v>
      </c>
      <c r="E60" s="2">
        <f t="shared" si="1"/>
        <v>2</v>
      </c>
      <c r="F60" s="9">
        <v>7.7220077220077222E-3</v>
      </c>
    </row>
    <row r="61" spans="2:6" x14ac:dyDescent="0.35">
      <c r="B61" s="4" t="s">
        <v>197</v>
      </c>
      <c r="C61" s="3">
        <v>1</v>
      </c>
      <c r="D61" s="2">
        <v>0</v>
      </c>
      <c r="E61" s="2">
        <f t="shared" si="1"/>
        <v>1</v>
      </c>
      <c r="F61" s="9">
        <v>3.8610038610038611E-3</v>
      </c>
    </row>
    <row r="62" spans="2:6" x14ac:dyDescent="0.35">
      <c r="B62" s="4" t="s">
        <v>285</v>
      </c>
      <c r="C62" s="3">
        <v>4</v>
      </c>
      <c r="D62" s="2">
        <v>0</v>
      </c>
      <c r="E62" s="2">
        <f t="shared" si="1"/>
        <v>4</v>
      </c>
      <c r="F62" s="9">
        <v>1.5444015444015444E-2</v>
      </c>
    </row>
    <row r="63" spans="2:6" x14ac:dyDescent="0.35">
      <c r="B63" s="4" t="s">
        <v>117</v>
      </c>
      <c r="C63" s="3">
        <v>1</v>
      </c>
      <c r="D63" s="2">
        <v>0</v>
      </c>
      <c r="E63" s="2">
        <f t="shared" si="1"/>
        <v>1</v>
      </c>
      <c r="F63" s="9">
        <v>3.8610038610038611E-3</v>
      </c>
    </row>
    <row r="64" spans="2:6" x14ac:dyDescent="0.35">
      <c r="B64" s="4" t="s">
        <v>323</v>
      </c>
      <c r="C64" s="3">
        <v>1</v>
      </c>
      <c r="D64" s="2">
        <v>0</v>
      </c>
      <c r="E64" s="2">
        <f t="shared" si="1"/>
        <v>1</v>
      </c>
      <c r="F64" s="9">
        <v>3.8610038610038611E-3</v>
      </c>
    </row>
    <row r="65" spans="2:6" x14ac:dyDescent="0.35">
      <c r="B65" s="4" t="s">
        <v>113</v>
      </c>
      <c r="C65" s="3">
        <v>1</v>
      </c>
      <c r="D65" s="2">
        <v>1</v>
      </c>
      <c r="E65" s="2">
        <f t="shared" si="1"/>
        <v>2</v>
      </c>
      <c r="F65" s="9">
        <v>7.7220077220077222E-3</v>
      </c>
    </row>
    <row r="66" spans="2:6" x14ac:dyDescent="0.35">
      <c r="B66" s="4" t="s">
        <v>108</v>
      </c>
      <c r="C66" s="3">
        <v>1</v>
      </c>
      <c r="D66" s="2">
        <v>1</v>
      </c>
      <c r="E66" s="2">
        <f t="shared" si="1"/>
        <v>2</v>
      </c>
      <c r="F66" s="9">
        <v>7.7220077220077222E-3</v>
      </c>
    </row>
    <row r="67" spans="2:6" x14ac:dyDescent="0.35">
      <c r="B67" s="4" t="s">
        <v>327</v>
      </c>
      <c r="C67" s="3">
        <v>1</v>
      </c>
      <c r="D67" s="2">
        <v>0</v>
      </c>
      <c r="E67" s="2">
        <f t="shared" si="1"/>
        <v>1</v>
      </c>
      <c r="F67" s="9">
        <v>3.8610038610038611E-3</v>
      </c>
    </row>
    <row r="68" spans="2:6" x14ac:dyDescent="0.35">
      <c r="B68" s="4" t="s">
        <v>187</v>
      </c>
      <c r="C68" s="3">
        <v>1</v>
      </c>
      <c r="D68" s="2">
        <v>0</v>
      </c>
      <c r="E68" s="2">
        <f t="shared" ref="E68:E131" si="2">C68+D68</f>
        <v>1</v>
      </c>
      <c r="F68" s="9">
        <v>3.8610038610038611E-3</v>
      </c>
    </row>
    <row r="69" spans="2:6" x14ac:dyDescent="0.35">
      <c r="B69" s="4" t="s">
        <v>233</v>
      </c>
      <c r="C69" s="3">
        <v>2</v>
      </c>
      <c r="D69" s="2">
        <v>0</v>
      </c>
      <c r="E69" s="2">
        <f t="shared" si="2"/>
        <v>2</v>
      </c>
      <c r="F69" s="9">
        <v>7.7220077220077222E-3</v>
      </c>
    </row>
    <row r="70" spans="2:6" x14ac:dyDescent="0.35">
      <c r="B70" s="4" t="s">
        <v>138</v>
      </c>
      <c r="C70" s="3">
        <v>1</v>
      </c>
      <c r="D70" s="2">
        <v>0</v>
      </c>
      <c r="E70" s="2">
        <f t="shared" si="2"/>
        <v>1</v>
      </c>
      <c r="F70" s="9">
        <v>3.8610038610038611E-3</v>
      </c>
    </row>
    <row r="71" spans="2:6" x14ac:dyDescent="0.35">
      <c r="B71" s="4" t="s">
        <v>204</v>
      </c>
      <c r="C71" s="3">
        <v>1</v>
      </c>
      <c r="D71" s="2">
        <v>0</v>
      </c>
      <c r="E71" s="2">
        <f t="shared" si="2"/>
        <v>1</v>
      </c>
      <c r="F71" s="9">
        <v>3.8610038610038611E-3</v>
      </c>
    </row>
    <row r="72" spans="2:6" x14ac:dyDescent="0.35">
      <c r="B72" s="4" t="s">
        <v>194</v>
      </c>
      <c r="C72" s="3">
        <v>1</v>
      </c>
      <c r="D72" s="2">
        <v>0</v>
      </c>
      <c r="E72" s="2">
        <f t="shared" si="2"/>
        <v>1</v>
      </c>
      <c r="F72" s="9">
        <v>3.8610038610038611E-3</v>
      </c>
    </row>
    <row r="73" spans="2:6" x14ac:dyDescent="0.35">
      <c r="B73" s="4" t="s">
        <v>201</v>
      </c>
      <c r="C73" s="3">
        <v>1</v>
      </c>
      <c r="D73" s="2">
        <v>0</v>
      </c>
      <c r="E73" s="2">
        <f t="shared" si="2"/>
        <v>1</v>
      </c>
      <c r="F73" s="9">
        <v>3.8610038610038611E-3</v>
      </c>
    </row>
    <row r="74" spans="2:6" x14ac:dyDescent="0.35">
      <c r="B74" s="4" t="s">
        <v>269</v>
      </c>
      <c r="C74" s="3">
        <v>2</v>
      </c>
      <c r="D74" s="2">
        <v>0</v>
      </c>
      <c r="E74" s="2">
        <f t="shared" si="2"/>
        <v>2</v>
      </c>
      <c r="F74" s="9">
        <v>7.7220077220077222E-3</v>
      </c>
    </row>
    <row r="75" spans="2:6" x14ac:dyDescent="0.35">
      <c r="B75" s="4" t="s">
        <v>143</v>
      </c>
      <c r="C75" s="3">
        <v>2</v>
      </c>
      <c r="D75" s="2">
        <v>1</v>
      </c>
      <c r="E75" s="2">
        <f t="shared" si="2"/>
        <v>3</v>
      </c>
      <c r="F75" s="9">
        <v>1.1583011583011582E-2</v>
      </c>
    </row>
    <row r="76" spans="2:6" x14ac:dyDescent="0.35">
      <c r="B76" s="4" t="s">
        <v>160</v>
      </c>
      <c r="C76" s="3">
        <v>2</v>
      </c>
      <c r="D76" s="2">
        <v>0</v>
      </c>
      <c r="E76" s="2">
        <f t="shared" si="2"/>
        <v>2</v>
      </c>
      <c r="F76" s="9">
        <v>7.7220077220077222E-3</v>
      </c>
    </row>
    <row r="77" spans="2:6" x14ac:dyDescent="0.35">
      <c r="B77" s="4" t="s">
        <v>74</v>
      </c>
      <c r="C77" s="3">
        <v>1</v>
      </c>
      <c r="D77" s="2">
        <v>0</v>
      </c>
      <c r="E77" s="2">
        <f t="shared" si="2"/>
        <v>1</v>
      </c>
      <c r="F77" s="9">
        <v>3.8610038610038611E-3</v>
      </c>
    </row>
    <row r="78" spans="2:6" x14ac:dyDescent="0.35">
      <c r="B78" s="4" t="s">
        <v>172</v>
      </c>
      <c r="C78" s="3">
        <v>1</v>
      </c>
      <c r="D78" s="2">
        <v>0</v>
      </c>
      <c r="E78" s="2">
        <f t="shared" si="2"/>
        <v>1</v>
      </c>
      <c r="F78" s="9">
        <v>3.8610038610038611E-3</v>
      </c>
    </row>
    <row r="79" spans="2:6" x14ac:dyDescent="0.35">
      <c r="B79" s="4" t="s">
        <v>271</v>
      </c>
      <c r="C79" s="3">
        <v>1</v>
      </c>
      <c r="D79" s="2">
        <v>0</v>
      </c>
      <c r="E79" s="2">
        <f t="shared" si="2"/>
        <v>1</v>
      </c>
      <c r="F79" s="9">
        <v>3.8610038610038611E-3</v>
      </c>
    </row>
    <row r="80" spans="2:6" x14ac:dyDescent="0.35">
      <c r="B80" s="4" t="s">
        <v>192</v>
      </c>
      <c r="C80" s="3">
        <v>1</v>
      </c>
      <c r="D80" s="2">
        <v>0</v>
      </c>
      <c r="E80" s="2">
        <f t="shared" si="2"/>
        <v>1</v>
      </c>
      <c r="F80" s="9">
        <v>3.8610038610038611E-3</v>
      </c>
    </row>
    <row r="81" spans="2:6" x14ac:dyDescent="0.35">
      <c r="B81" s="4" t="s">
        <v>37</v>
      </c>
      <c r="C81" s="3">
        <v>1</v>
      </c>
      <c r="D81" s="2">
        <v>0</v>
      </c>
      <c r="E81" s="2">
        <f t="shared" si="2"/>
        <v>1</v>
      </c>
      <c r="F81" s="9">
        <v>3.8610038610038611E-3</v>
      </c>
    </row>
    <row r="82" spans="2:6" x14ac:dyDescent="0.35">
      <c r="B82" s="4" t="s">
        <v>212</v>
      </c>
      <c r="C82" s="3">
        <v>1</v>
      </c>
      <c r="D82" s="2">
        <v>0</v>
      </c>
      <c r="E82" s="2">
        <f t="shared" si="2"/>
        <v>1</v>
      </c>
      <c r="F82" s="9">
        <v>3.8610038610038611E-3</v>
      </c>
    </row>
    <row r="83" spans="2:6" x14ac:dyDescent="0.35">
      <c r="B83" s="4" t="s">
        <v>215</v>
      </c>
      <c r="C83" s="3">
        <v>2</v>
      </c>
      <c r="D83" s="2">
        <v>0</v>
      </c>
      <c r="E83" s="2">
        <f t="shared" si="2"/>
        <v>2</v>
      </c>
      <c r="F83" s="9">
        <v>7.7220077220077222E-3</v>
      </c>
    </row>
    <row r="84" spans="2:6" x14ac:dyDescent="0.35">
      <c r="B84" s="4" t="s">
        <v>211</v>
      </c>
      <c r="C84" s="3">
        <v>1</v>
      </c>
      <c r="D84" s="2">
        <v>0</v>
      </c>
      <c r="E84" s="2">
        <f t="shared" si="2"/>
        <v>1</v>
      </c>
      <c r="F84" s="9">
        <v>3.8610038610038611E-3</v>
      </c>
    </row>
    <row r="85" spans="2:6" x14ac:dyDescent="0.35">
      <c r="B85" s="4" t="s">
        <v>239</v>
      </c>
      <c r="C85" s="3">
        <v>2</v>
      </c>
      <c r="D85" s="2">
        <v>0</v>
      </c>
      <c r="E85" s="2">
        <f t="shared" si="2"/>
        <v>2</v>
      </c>
      <c r="F85" s="9">
        <v>7.7220077220077222E-3</v>
      </c>
    </row>
    <row r="86" spans="2:6" x14ac:dyDescent="0.35">
      <c r="B86" s="4" t="s">
        <v>93</v>
      </c>
      <c r="C86" s="3">
        <v>3</v>
      </c>
      <c r="D86" s="2">
        <v>0</v>
      </c>
      <c r="E86" s="2">
        <f t="shared" si="2"/>
        <v>3</v>
      </c>
      <c r="F86" s="9">
        <v>1.1583011583011582E-2</v>
      </c>
    </row>
    <row r="87" spans="2:6" x14ac:dyDescent="0.35">
      <c r="B87" s="4" t="s">
        <v>198</v>
      </c>
      <c r="C87" s="3">
        <v>2</v>
      </c>
      <c r="D87" s="2">
        <v>0</v>
      </c>
      <c r="E87" s="2">
        <f t="shared" si="2"/>
        <v>2</v>
      </c>
      <c r="F87" s="9">
        <v>7.7220077220077222E-3</v>
      </c>
    </row>
    <row r="88" spans="2:6" x14ac:dyDescent="0.35">
      <c r="B88" s="4" t="s">
        <v>264</v>
      </c>
      <c r="C88" s="3">
        <v>2</v>
      </c>
      <c r="D88" s="2">
        <v>0</v>
      </c>
      <c r="E88" s="2">
        <f t="shared" si="2"/>
        <v>2</v>
      </c>
      <c r="F88" s="9">
        <v>7.7220077220077222E-3</v>
      </c>
    </row>
    <row r="89" spans="2:6" x14ac:dyDescent="0.35">
      <c r="B89" s="4" t="s">
        <v>216</v>
      </c>
      <c r="C89" s="3">
        <v>3</v>
      </c>
      <c r="D89" s="2">
        <v>0</v>
      </c>
      <c r="E89" s="2">
        <f t="shared" si="2"/>
        <v>3</v>
      </c>
      <c r="F89" s="9">
        <v>1.1583011583011582E-2</v>
      </c>
    </row>
    <row r="90" spans="2:6" x14ac:dyDescent="0.35">
      <c r="B90" s="4" t="s">
        <v>137</v>
      </c>
      <c r="C90" s="3">
        <v>1</v>
      </c>
      <c r="D90" s="2">
        <v>0</v>
      </c>
      <c r="E90" s="2">
        <f t="shared" si="2"/>
        <v>1</v>
      </c>
      <c r="F90" s="9">
        <v>3.8610038610038611E-3</v>
      </c>
    </row>
    <row r="91" spans="2:6" x14ac:dyDescent="0.35">
      <c r="B91" s="4" t="s">
        <v>229</v>
      </c>
      <c r="C91" s="3">
        <v>1</v>
      </c>
      <c r="D91" s="2">
        <v>0</v>
      </c>
      <c r="E91" s="2">
        <f t="shared" si="2"/>
        <v>1</v>
      </c>
      <c r="F91" s="9">
        <v>3.8610038610038611E-3</v>
      </c>
    </row>
    <row r="92" spans="2:6" x14ac:dyDescent="0.35">
      <c r="B92" s="4" t="s">
        <v>126</v>
      </c>
      <c r="C92" s="3">
        <v>4</v>
      </c>
      <c r="D92" s="2">
        <v>0</v>
      </c>
      <c r="E92" s="2">
        <f t="shared" si="2"/>
        <v>4</v>
      </c>
      <c r="F92" s="9">
        <v>1.5444015444015444E-2</v>
      </c>
    </row>
    <row r="93" spans="2:6" x14ac:dyDescent="0.35">
      <c r="B93" s="4" t="s">
        <v>225</v>
      </c>
      <c r="C93" s="3">
        <v>1</v>
      </c>
      <c r="D93" s="2">
        <v>0</v>
      </c>
      <c r="E93" s="2">
        <f t="shared" si="2"/>
        <v>1</v>
      </c>
      <c r="F93" s="9">
        <v>3.8610038610038611E-3</v>
      </c>
    </row>
    <row r="94" spans="2:6" x14ac:dyDescent="0.35">
      <c r="B94" s="4" t="s">
        <v>231</v>
      </c>
      <c r="C94" s="3">
        <v>3</v>
      </c>
      <c r="D94" s="2">
        <v>0</v>
      </c>
      <c r="E94" s="2">
        <f t="shared" si="2"/>
        <v>3</v>
      </c>
      <c r="F94" s="9">
        <v>1.1583011583011582E-2</v>
      </c>
    </row>
    <row r="95" spans="2:6" x14ac:dyDescent="0.35">
      <c r="B95" s="4" t="s">
        <v>385</v>
      </c>
      <c r="C95" s="3">
        <v>1</v>
      </c>
      <c r="D95" s="2">
        <v>0</v>
      </c>
      <c r="E95" s="2">
        <f t="shared" si="2"/>
        <v>1</v>
      </c>
      <c r="F95" s="9">
        <v>3.8610038610038611E-3</v>
      </c>
    </row>
    <row r="96" spans="2:6" x14ac:dyDescent="0.35">
      <c r="B96" s="4" t="s">
        <v>155</v>
      </c>
      <c r="C96" s="3">
        <v>1</v>
      </c>
      <c r="D96" s="2">
        <v>0</v>
      </c>
      <c r="E96" s="2">
        <f t="shared" si="2"/>
        <v>1</v>
      </c>
      <c r="F96" s="9">
        <v>3.8610038610038611E-3</v>
      </c>
    </row>
    <row r="97" spans="2:6" x14ac:dyDescent="0.35">
      <c r="B97" s="4" t="s">
        <v>154</v>
      </c>
      <c r="C97" s="3">
        <v>1</v>
      </c>
      <c r="D97" s="2">
        <v>3</v>
      </c>
      <c r="E97" s="2">
        <f t="shared" si="2"/>
        <v>4</v>
      </c>
      <c r="F97" s="9">
        <v>1.5444015444015444E-2</v>
      </c>
    </row>
    <row r="98" spans="2:6" x14ac:dyDescent="0.35">
      <c r="B98" s="4" t="s">
        <v>110</v>
      </c>
      <c r="C98" s="3">
        <v>1</v>
      </c>
      <c r="D98" s="2">
        <v>0</v>
      </c>
      <c r="E98" s="2">
        <f t="shared" si="2"/>
        <v>1</v>
      </c>
      <c r="F98" s="9">
        <v>3.8610038610038611E-3</v>
      </c>
    </row>
    <row r="99" spans="2:6" x14ac:dyDescent="0.35">
      <c r="B99" s="4" t="s">
        <v>279</v>
      </c>
      <c r="C99" s="3">
        <v>1</v>
      </c>
      <c r="D99" s="2">
        <v>1</v>
      </c>
      <c r="E99" s="2">
        <f t="shared" si="2"/>
        <v>2</v>
      </c>
      <c r="F99" s="9">
        <v>7.7220077220077222E-3</v>
      </c>
    </row>
    <row r="100" spans="2:6" x14ac:dyDescent="0.35">
      <c r="B100" s="4" t="s">
        <v>148</v>
      </c>
      <c r="C100" s="3">
        <v>1</v>
      </c>
      <c r="D100" s="2">
        <v>0</v>
      </c>
      <c r="E100" s="2">
        <f t="shared" si="2"/>
        <v>1</v>
      </c>
      <c r="F100" s="9">
        <v>3.8610038610038611E-3</v>
      </c>
    </row>
    <row r="101" spans="2:6" x14ac:dyDescent="0.35">
      <c r="B101" s="4" t="s">
        <v>284</v>
      </c>
      <c r="C101" s="3">
        <v>5</v>
      </c>
      <c r="D101" s="2">
        <v>0</v>
      </c>
      <c r="E101" s="2">
        <f t="shared" si="2"/>
        <v>5</v>
      </c>
      <c r="F101" s="9">
        <v>1.9305019305019305E-2</v>
      </c>
    </row>
    <row r="102" spans="2:6" x14ac:dyDescent="0.35">
      <c r="B102" s="4" t="s">
        <v>339</v>
      </c>
      <c r="C102" s="3">
        <v>1</v>
      </c>
      <c r="D102" s="2">
        <v>0</v>
      </c>
      <c r="E102" s="2">
        <f t="shared" si="2"/>
        <v>1</v>
      </c>
      <c r="F102" s="9">
        <v>3.8610038610038611E-3</v>
      </c>
    </row>
    <row r="103" spans="2:6" x14ac:dyDescent="0.35">
      <c r="B103" s="4" t="s">
        <v>121</v>
      </c>
      <c r="C103" s="3">
        <v>3</v>
      </c>
      <c r="D103" s="2">
        <v>0</v>
      </c>
      <c r="E103" s="2">
        <f t="shared" si="2"/>
        <v>3</v>
      </c>
      <c r="F103" s="9">
        <v>1.1583011583011582E-2</v>
      </c>
    </row>
    <row r="104" spans="2:6" x14ac:dyDescent="0.35">
      <c r="B104" s="4" t="s">
        <v>272</v>
      </c>
      <c r="C104" s="3">
        <v>1</v>
      </c>
      <c r="D104" s="2">
        <v>1</v>
      </c>
      <c r="E104" s="2">
        <f t="shared" si="2"/>
        <v>2</v>
      </c>
      <c r="F104" s="9">
        <v>7.7220077220077222E-3</v>
      </c>
    </row>
    <row r="105" spans="2:6" x14ac:dyDescent="0.35">
      <c r="B105" s="4" t="s">
        <v>275</v>
      </c>
      <c r="C105" s="3">
        <v>1</v>
      </c>
      <c r="D105" s="2">
        <v>0</v>
      </c>
      <c r="E105" s="2">
        <f t="shared" si="2"/>
        <v>1</v>
      </c>
      <c r="F105" s="9">
        <v>3.8610038610038611E-3</v>
      </c>
    </row>
    <row r="106" spans="2:6" x14ac:dyDescent="0.35">
      <c r="B106" s="4" t="s">
        <v>353</v>
      </c>
      <c r="C106" s="3">
        <v>1</v>
      </c>
      <c r="D106" s="2">
        <v>0</v>
      </c>
      <c r="E106" s="2">
        <f t="shared" si="2"/>
        <v>1</v>
      </c>
      <c r="F106" s="9">
        <v>3.8610038610038611E-3</v>
      </c>
    </row>
    <row r="107" spans="2:6" x14ac:dyDescent="0.35">
      <c r="B107" s="4" t="s">
        <v>293</v>
      </c>
      <c r="C107" s="3">
        <v>2</v>
      </c>
      <c r="D107" s="2">
        <v>1</v>
      </c>
      <c r="E107" s="2">
        <f t="shared" si="2"/>
        <v>3</v>
      </c>
      <c r="F107" s="9">
        <v>1.1583011583011582E-2</v>
      </c>
    </row>
    <row r="108" spans="2:6" x14ac:dyDescent="0.35">
      <c r="B108" s="4" t="s">
        <v>305</v>
      </c>
      <c r="C108" s="3">
        <v>2</v>
      </c>
      <c r="D108" s="2">
        <v>0</v>
      </c>
      <c r="E108" s="2">
        <f t="shared" si="2"/>
        <v>2</v>
      </c>
      <c r="F108" s="9">
        <v>7.7220077220077222E-3</v>
      </c>
    </row>
    <row r="109" spans="2:6" x14ac:dyDescent="0.35">
      <c r="B109" s="4" t="s">
        <v>185</v>
      </c>
      <c r="C109" s="3">
        <v>2</v>
      </c>
      <c r="D109" s="2">
        <v>0</v>
      </c>
      <c r="E109" s="2">
        <f t="shared" si="2"/>
        <v>2</v>
      </c>
      <c r="F109" s="9">
        <v>7.7220077220077222E-3</v>
      </c>
    </row>
    <row r="110" spans="2:6" x14ac:dyDescent="0.35">
      <c r="B110" s="4" t="s">
        <v>398</v>
      </c>
      <c r="C110" s="3">
        <v>1</v>
      </c>
      <c r="D110" s="2">
        <v>0</v>
      </c>
      <c r="E110" s="2">
        <f t="shared" si="2"/>
        <v>1</v>
      </c>
      <c r="F110" s="9">
        <v>3.8610038610038611E-3</v>
      </c>
    </row>
    <row r="111" spans="2:6" x14ac:dyDescent="0.35">
      <c r="B111" s="4" t="s">
        <v>193</v>
      </c>
      <c r="C111" s="3">
        <v>1</v>
      </c>
      <c r="D111" s="2">
        <v>0</v>
      </c>
      <c r="E111" s="2">
        <f t="shared" si="2"/>
        <v>1</v>
      </c>
      <c r="F111" s="9">
        <v>3.8610038610038611E-3</v>
      </c>
    </row>
    <row r="112" spans="2:6" x14ac:dyDescent="0.35">
      <c r="B112" s="4" t="s">
        <v>297</v>
      </c>
      <c r="C112" s="3">
        <v>1</v>
      </c>
      <c r="D112" s="2">
        <v>0</v>
      </c>
      <c r="E112" s="2">
        <f t="shared" si="2"/>
        <v>1</v>
      </c>
      <c r="F112" s="9">
        <v>3.8610038610038611E-3</v>
      </c>
    </row>
    <row r="113" spans="2:6" x14ac:dyDescent="0.35">
      <c r="B113" s="4" t="s">
        <v>386</v>
      </c>
      <c r="C113" s="3">
        <v>1</v>
      </c>
      <c r="D113" s="2">
        <v>0</v>
      </c>
      <c r="E113" s="2">
        <f t="shared" si="2"/>
        <v>1</v>
      </c>
      <c r="F113" s="9">
        <v>3.8610038610038611E-3</v>
      </c>
    </row>
    <row r="114" spans="2:6" x14ac:dyDescent="0.35">
      <c r="B114" s="4" t="s">
        <v>58</v>
      </c>
      <c r="C114" s="3">
        <v>1</v>
      </c>
      <c r="D114" s="2">
        <v>0</v>
      </c>
      <c r="E114" s="2">
        <f t="shared" si="2"/>
        <v>1</v>
      </c>
      <c r="F114" s="9">
        <v>3.8610038610038611E-3</v>
      </c>
    </row>
    <row r="115" spans="2:6" x14ac:dyDescent="0.35">
      <c r="B115" s="4" t="s">
        <v>374</v>
      </c>
      <c r="C115" s="3">
        <v>2</v>
      </c>
      <c r="D115" s="2">
        <v>0</v>
      </c>
      <c r="E115" s="2">
        <f t="shared" si="2"/>
        <v>2</v>
      </c>
      <c r="F115" s="9">
        <v>7.7220077220077222E-3</v>
      </c>
    </row>
    <row r="116" spans="2:6" x14ac:dyDescent="0.35">
      <c r="B116" s="4" t="s">
        <v>330</v>
      </c>
      <c r="C116" s="3">
        <v>2</v>
      </c>
      <c r="D116" s="2">
        <v>1</v>
      </c>
      <c r="E116" s="2">
        <f t="shared" si="2"/>
        <v>3</v>
      </c>
      <c r="F116" s="9">
        <v>1.1583011583011582E-2</v>
      </c>
    </row>
    <row r="117" spans="2:6" x14ac:dyDescent="0.35">
      <c r="B117" s="4" t="s">
        <v>76</v>
      </c>
      <c r="C117" s="3">
        <v>2</v>
      </c>
      <c r="D117" s="2">
        <v>0</v>
      </c>
      <c r="E117" s="2">
        <f t="shared" si="2"/>
        <v>2</v>
      </c>
      <c r="F117" s="9">
        <v>7.7220077220077222E-3</v>
      </c>
    </row>
    <row r="118" spans="2:6" x14ac:dyDescent="0.35">
      <c r="B118" s="4" t="s">
        <v>170</v>
      </c>
      <c r="C118" s="3">
        <v>1</v>
      </c>
      <c r="D118" s="2">
        <v>0</v>
      </c>
      <c r="E118" s="2">
        <f t="shared" si="2"/>
        <v>1</v>
      </c>
      <c r="F118" s="9">
        <v>3.8610038610038611E-3</v>
      </c>
    </row>
    <row r="119" spans="2:6" x14ac:dyDescent="0.35">
      <c r="B119" s="4" t="s">
        <v>175</v>
      </c>
      <c r="C119" s="3">
        <v>1</v>
      </c>
      <c r="D119" s="2">
        <v>0</v>
      </c>
      <c r="E119" s="2">
        <f t="shared" si="2"/>
        <v>1</v>
      </c>
      <c r="F119" s="9">
        <v>3.8610038610038611E-3</v>
      </c>
    </row>
    <row r="120" spans="2:6" x14ac:dyDescent="0.35">
      <c r="B120" s="4" t="s">
        <v>399</v>
      </c>
      <c r="C120" s="3">
        <v>1</v>
      </c>
      <c r="D120" s="2">
        <v>0</v>
      </c>
      <c r="E120" s="2">
        <f t="shared" si="2"/>
        <v>1</v>
      </c>
      <c r="F120" s="9">
        <v>3.8610038610038611E-3</v>
      </c>
    </row>
    <row r="121" spans="2:6" x14ac:dyDescent="0.35">
      <c r="B121" s="4" t="s">
        <v>309</v>
      </c>
      <c r="C121" s="3">
        <v>2</v>
      </c>
      <c r="D121" s="2">
        <v>0</v>
      </c>
      <c r="E121" s="2">
        <f t="shared" si="2"/>
        <v>2</v>
      </c>
      <c r="F121" s="9">
        <v>7.7220077220077222E-3</v>
      </c>
    </row>
    <row r="122" spans="2:6" x14ac:dyDescent="0.35">
      <c r="B122" s="4" t="s">
        <v>87</v>
      </c>
      <c r="C122" s="3">
        <v>5</v>
      </c>
      <c r="D122" s="2">
        <v>0</v>
      </c>
      <c r="E122" s="2">
        <f t="shared" si="2"/>
        <v>5</v>
      </c>
      <c r="F122" s="9">
        <v>1.9305019305019305E-2</v>
      </c>
    </row>
    <row r="123" spans="2:6" x14ac:dyDescent="0.35">
      <c r="B123" s="4" t="s">
        <v>303</v>
      </c>
      <c r="C123" s="3">
        <v>1</v>
      </c>
      <c r="D123" s="2">
        <v>0</v>
      </c>
      <c r="E123" s="2">
        <f t="shared" si="2"/>
        <v>1</v>
      </c>
      <c r="F123" s="9">
        <v>3.8610038610038611E-3</v>
      </c>
    </row>
    <row r="124" spans="2:6" x14ac:dyDescent="0.35">
      <c r="B124" s="4" t="s">
        <v>63</v>
      </c>
      <c r="C124" s="3">
        <v>1</v>
      </c>
      <c r="D124" s="2">
        <v>0</v>
      </c>
      <c r="E124" s="2">
        <f t="shared" si="2"/>
        <v>1</v>
      </c>
      <c r="F124" s="9">
        <v>3.8610038610038611E-3</v>
      </c>
    </row>
    <row r="125" spans="2:6" x14ac:dyDescent="0.35">
      <c r="B125" s="4" t="s">
        <v>48</v>
      </c>
      <c r="C125" s="3">
        <v>2</v>
      </c>
      <c r="D125" s="2">
        <v>0</v>
      </c>
      <c r="E125" s="2">
        <f t="shared" si="2"/>
        <v>2</v>
      </c>
      <c r="F125" s="9">
        <v>7.7220077220077222E-3</v>
      </c>
    </row>
    <row r="126" spans="2:6" x14ac:dyDescent="0.35">
      <c r="B126" s="4" t="s">
        <v>157</v>
      </c>
      <c r="C126" s="3">
        <v>1</v>
      </c>
      <c r="D126" s="2">
        <v>0</v>
      </c>
      <c r="E126" s="2">
        <f t="shared" si="2"/>
        <v>1</v>
      </c>
      <c r="F126" s="9">
        <v>3.8610038610038611E-3</v>
      </c>
    </row>
    <row r="127" spans="2:6" x14ac:dyDescent="0.35">
      <c r="B127" s="4" t="s">
        <v>320</v>
      </c>
      <c r="C127" s="3">
        <v>1</v>
      </c>
      <c r="D127" s="2">
        <v>0</v>
      </c>
      <c r="E127" s="2">
        <f t="shared" si="2"/>
        <v>1</v>
      </c>
      <c r="F127" s="9">
        <v>3.8610038610038611E-3</v>
      </c>
    </row>
    <row r="128" spans="2:6" x14ac:dyDescent="0.35">
      <c r="B128" s="4" t="s">
        <v>324</v>
      </c>
      <c r="C128" s="3">
        <v>1</v>
      </c>
      <c r="D128" s="2">
        <v>0</v>
      </c>
      <c r="E128" s="2">
        <f t="shared" si="2"/>
        <v>1</v>
      </c>
      <c r="F128" s="9">
        <v>3.8610038610038611E-3</v>
      </c>
    </row>
    <row r="129" spans="2:6" x14ac:dyDescent="0.35">
      <c r="B129" s="4" t="s">
        <v>180</v>
      </c>
      <c r="C129" s="3">
        <v>1</v>
      </c>
      <c r="D129" s="2">
        <v>2</v>
      </c>
      <c r="E129" s="2">
        <f t="shared" si="2"/>
        <v>3</v>
      </c>
      <c r="F129" s="9">
        <v>1.1583011583011582E-2</v>
      </c>
    </row>
    <row r="130" spans="2:6" x14ac:dyDescent="0.35">
      <c r="B130" s="4" t="s">
        <v>227</v>
      </c>
      <c r="C130" s="3">
        <v>1</v>
      </c>
      <c r="D130" s="2">
        <v>0</v>
      </c>
      <c r="E130" s="2">
        <f t="shared" si="2"/>
        <v>1</v>
      </c>
      <c r="F130" s="9">
        <v>3.8610038610038611E-3</v>
      </c>
    </row>
    <row r="131" spans="2:6" x14ac:dyDescent="0.35">
      <c r="B131" s="4" t="s">
        <v>371</v>
      </c>
      <c r="C131" s="3">
        <v>1</v>
      </c>
      <c r="D131" s="2">
        <v>0</v>
      </c>
      <c r="E131" s="2">
        <f t="shared" si="2"/>
        <v>1</v>
      </c>
      <c r="F131" s="9">
        <v>3.8610038610038611E-3</v>
      </c>
    </row>
    <row r="132" spans="2:6" x14ac:dyDescent="0.35">
      <c r="B132" s="4" t="s">
        <v>182</v>
      </c>
      <c r="C132" s="3">
        <v>1</v>
      </c>
      <c r="D132" s="2">
        <v>1</v>
      </c>
      <c r="E132" s="2">
        <f t="shared" ref="E132:E195" si="3">C132+D132</f>
        <v>2</v>
      </c>
      <c r="F132" s="9">
        <v>7.7220077220077222E-3</v>
      </c>
    </row>
    <row r="133" spans="2:6" x14ac:dyDescent="0.35">
      <c r="B133" s="4" t="s">
        <v>282</v>
      </c>
      <c r="C133" s="3">
        <v>1</v>
      </c>
      <c r="D133" s="2">
        <v>0</v>
      </c>
      <c r="E133" s="2">
        <f t="shared" si="3"/>
        <v>1</v>
      </c>
      <c r="F133" s="9">
        <v>3.8610038610038611E-3</v>
      </c>
    </row>
    <row r="134" spans="2:6" x14ac:dyDescent="0.35">
      <c r="B134" s="4" t="s">
        <v>310</v>
      </c>
      <c r="C134" s="3">
        <v>1</v>
      </c>
      <c r="D134" s="2">
        <v>0</v>
      </c>
      <c r="E134" s="2">
        <f t="shared" si="3"/>
        <v>1</v>
      </c>
      <c r="F134" s="9">
        <v>3.8610038610038611E-3</v>
      </c>
    </row>
    <row r="135" spans="2:6" x14ac:dyDescent="0.35">
      <c r="B135" s="4" t="s">
        <v>308</v>
      </c>
      <c r="C135" s="3">
        <v>1</v>
      </c>
      <c r="D135" s="2">
        <v>0</v>
      </c>
      <c r="E135" s="2">
        <f t="shared" si="3"/>
        <v>1</v>
      </c>
      <c r="F135" s="9">
        <v>3.8610038610038611E-3</v>
      </c>
    </row>
    <row r="136" spans="2:6" x14ac:dyDescent="0.35">
      <c r="B136" s="4" t="s">
        <v>228</v>
      </c>
      <c r="C136" s="3">
        <v>2</v>
      </c>
      <c r="D136" s="2">
        <v>0</v>
      </c>
      <c r="E136" s="2">
        <f t="shared" si="3"/>
        <v>2</v>
      </c>
      <c r="F136" s="9">
        <v>7.7220077220077222E-3</v>
      </c>
    </row>
    <row r="137" spans="2:6" x14ac:dyDescent="0.35">
      <c r="B137" s="4" t="s">
        <v>261</v>
      </c>
      <c r="C137" s="3">
        <v>2</v>
      </c>
      <c r="D137" s="2">
        <v>0</v>
      </c>
      <c r="E137" s="2">
        <f t="shared" si="3"/>
        <v>2</v>
      </c>
      <c r="F137" s="9">
        <v>7.7220077220077222E-3</v>
      </c>
    </row>
    <row r="138" spans="2:6" x14ac:dyDescent="0.35">
      <c r="B138" s="4" t="s">
        <v>232</v>
      </c>
      <c r="C138" s="3">
        <v>1</v>
      </c>
      <c r="D138" s="2">
        <v>0</v>
      </c>
      <c r="E138" s="2">
        <f t="shared" si="3"/>
        <v>1</v>
      </c>
      <c r="F138" s="9">
        <v>3.8610038610038611E-3</v>
      </c>
    </row>
    <row r="139" spans="2:6" x14ac:dyDescent="0.35">
      <c r="B139" s="4" t="s">
        <v>190</v>
      </c>
      <c r="C139" s="3">
        <v>1</v>
      </c>
      <c r="D139" s="2">
        <v>0</v>
      </c>
      <c r="E139" s="2">
        <f t="shared" si="3"/>
        <v>1</v>
      </c>
      <c r="F139" s="9">
        <v>3.8610038610038611E-3</v>
      </c>
    </row>
    <row r="140" spans="2:6" x14ac:dyDescent="0.35">
      <c r="B140" s="4" t="s">
        <v>307</v>
      </c>
      <c r="C140" s="3">
        <v>1</v>
      </c>
      <c r="D140" s="2">
        <v>0</v>
      </c>
      <c r="E140" s="2">
        <f t="shared" si="3"/>
        <v>1</v>
      </c>
      <c r="F140" s="9">
        <v>3.8610038610038611E-3</v>
      </c>
    </row>
    <row r="141" spans="2:6" x14ac:dyDescent="0.35">
      <c r="B141" s="4" t="s">
        <v>274</v>
      </c>
      <c r="C141" s="3">
        <v>1</v>
      </c>
      <c r="D141" s="2">
        <v>1</v>
      </c>
      <c r="E141" s="2">
        <f t="shared" si="3"/>
        <v>2</v>
      </c>
      <c r="F141" s="9">
        <v>7.7220077220077222E-3</v>
      </c>
    </row>
    <row r="142" spans="2:6" x14ac:dyDescent="0.35">
      <c r="B142" s="4" t="s">
        <v>163</v>
      </c>
      <c r="C142" s="3">
        <v>1</v>
      </c>
      <c r="D142" s="2">
        <v>0</v>
      </c>
      <c r="E142" s="2">
        <f t="shared" si="3"/>
        <v>1</v>
      </c>
      <c r="F142" s="9">
        <v>3.8610038610038611E-3</v>
      </c>
    </row>
    <row r="143" spans="2:6" x14ac:dyDescent="0.35">
      <c r="B143" s="4" t="s">
        <v>343</v>
      </c>
      <c r="C143" s="3">
        <v>1</v>
      </c>
      <c r="D143" s="2">
        <v>0</v>
      </c>
      <c r="E143" s="2">
        <f t="shared" si="3"/>
        <v>1</v>
      </c>
      <c r="F143" s="9">
        <v>3.8610038610038611E-3</v>
      </c>
    </row>
    <row r="144" spans="2:6" x14ac:dyDescent="0.35">
      <c r="B144" s="4" t="s">
        <v>357</v>
      </c>
      <c r="C144" s="3">
        <v>1</v>
      </c>
      <c r="D144" s="2">
        <v>0</v>
      </c>
      <c r="E144" s="2">
        <f t="shared" si="3"/>
        <v>1</v>
      </c>
      <c r="F144" s="9">
        <v>3.8610038610038611E-3</v>
      </c>
    </row>
    <row r="145" spans="1:6" x14ac:dyDescent="0.35">
      <c r="B145" s="4" t="s">
        <v>186</v>
      </c>
      <c r="C145" s="3">
        <v>1</v>
      </c>
      <c r="D145" s="2">
        <v>1</v>
      </c>
      <c r="E145" s="2">
        <f t="shared" si="3"/>
        <v>2</v>
      </c>
      <c r="F145" s="9">
        <v>7.7220077220077222E-3</v>
      </c>
    </row>
    <row r="146" spans="1:6" x14ac:dyDescent="0.35">
      <c r="B146" s="4" t="s">
        <v>124</v>
      </c>
      <c r="C146" s="3">
        <v>1</v>
      </c>
      <c r="D146" s="2">
        <v>0</v>
      </c>
      <c r="E146" s="2">
        <f t="shared" si="3"/>
        <v>1</v>
      </c>
      <c r="F146" s="9">
        <v>3.8610038610038611E-3</v>
      </c>
    </row>
    <row r="147" spans="1:6" x14ac:dyDescent="0.35">
      <c r="B147" s="4" t="s">
        <v>70</v>
      </c>
      <c r="C147" s="3">
        <v>2</v>
      </c>
      <c r="D147" s="2">
        <v>0</v>
      </c>
      <c r="E147" s="2">
        <f t="shared" si="3"/>
        <v>2</v>
      </c>
      <c r="F147" s="9">
        <v>7.7220077220077222E-3</v>
      </c>
    </row>
    <row r="148" spans="1:6" x14ac:dyDescent="0.35">
      <c r="B148" s="4" t="s">
        <v>242</v>
      </c>
      <c r="C148" s="3">
        <v>2</v>
      </c>
      <c r="D148" s="2">
        <v>1</v>
      </c>
      <c r="E148" s="2">
        <f t="shared" si="3"/>
        <v>3</v>
      </c>
      <c r="F148" s="9">
        <v>1.1583011583011582E-2</v>
      </c>
    </row>
    <row r="149" spans="1:6" x14ac:dyDescent="0.35">
      <c r="B149" s="4" t="s">
        <v>141</v>
      </c>
      <c r="C149" s="3">
        <v>1</v>
      </c>
      <c r="D149" s="2">
        <v>0</v>
      </c>
      <c r="E149" s="2">
        <f t="shared" si="3"/>
        <v>1</v>
      </c>
      <c r="F149" s="9">
        <v>3.8610038610038611E-3</v>
      </c>
    </row>
    <row r="150" spans="1:6" x14ac:dyDescent="0.35">
      <c r="B150" s="4" t="s">
        <v>370</v>
      </c>
      <c r="C150" s="3">
        <v>1</v>
      </c>
      <c r="D150" s="2">
        <v>0</v>
      </c>
      <c r="E150" s="2">
        <f t="shared" si="3"/>
        <v>1</v>
      </c>
      <c r="F150" s="9">
        <v>3.8610038610038611E-3</v>
      </c>
    </row>
    <row r="151" spans="1:6" x14ac:dyDescent="0.35">
      <c r="B151" s="4" t="s">
        <v>230</v>
      </c>
      <c r="C151" s="3">
        <v>3</v>
      </c>
      <c r="D151" s="2">
        <v>0</v>
      </c>
      <c r="E151" s="2">
        <f t="shared" si="3"/>
        <v>3</v>
      </c>
      <c r="F151" s="9">
        <v>1.1583011583011582E-2</v>
      </c>
    </row>
    <row r="152" spans="1:6" x14ac:dyDescent="0.35">
      <c r="B152" s="4" t="s">
        <v>237</v>
      </c>
      <c r="C152" s="3">
        <v>1</v>
      </c>
      <c r="D152" s="2">
        <v>0</v>
      </c>
      <c r="E152" s="2">
        <f t="shared" si="3"/>
        <v>1</v>
      </c>
      <c r="F152" s="9">
        <v>3.8610038610038611E-3</v>
      </c>
    </row>
    <row r="153" spans="1:6" x14ac:dyDescent="0.35">
      <c r="B153" s="4" t="s">
        <v>224</v>
      </c>
      <c r="C153" s="3">
        <v>2</v>
      </c>
      <c r="D153" s="2">
        <v>0</v>
      </c>
      <c r="E153" s="2">
        <f t="shared" si="3"/>
        <v>2</v>
      </c>
      <c r="F153" s="9">
        <v>7.7220077220077222E-3</v>
      </c>
    </row>
    <row r="154" spans="1:6" x14ac:dyDescent="0.35">
      <c r="B154" s="4" t="s">
        <v>90</v>
      </c>
      <c r="C154" s="3">
        <v>3</v>
      </c>
      <c r="D154" s="2">
        <v>0</v>
      </c>
      <c r="E154" s="2">
        <f t="shared" si="3"/>
        <v>3</v>
      </c>
      <c r="F154" s="9">
        <v>1.1583011583011582E-2</v>
      </c>
    </row>
    <row r="155" spans="1:6" x14ac:dyDescent="0.35">
      <c r="B155" s="4" t="s">
        <v>383</v>
      </c>
      <c r="C155" s="3">
        <v>1</v>
      </c>
      <c r="D155" s="2">
        <v>0</v>
      </c>
      <c r="E155" s="2">
        <f t="shared" si="3"/>
        <v>1</v>
      </c>
      <c r="F155" s="9">
        <v>3.8610038610038611E-3</v>
      </c>
    </row>
    <row r="156" spans="1:6" x14ac:dyDescent="0.35">
      <c r="B156" s="4" t="s">
        <v>59</v>
      </c>
      <c r="C156" s="3">
        <v>1</v>
      </c>
      <c r="D156" s="2">
        <v>1</v>
      </c>
      <c r="E156" s="2">
        <f t="shared" si="3"/>
        <v>2</v>
      </c>
      <c r="F156" s="9">
        <v>7.7220077220077222E-3</v>
      </c>
    </row>
    <row r="157" spans="1:6" x14ac:dyDescent="0.35">
      <c r="A157" s="17" t="s">
        <v>463</v>
      </c>
      <c r="B157" s="12" t="s">
        <v>462</v>
      </c>
      <c r="C157" s="13">
        <f>SUM(C158:C276)</f>
        <v>164</v>
      </c>
      <c r="D157" s="13">
        <f t="shared" ref="D157:E157" si="4">SUM(D158:D276)</f>
        <v>17</v>
      </c>
      <c r="E157" s="13">
        <f t="shared" si="4"/>
        <v>181</v>
      </c>
      <c r="F157" s="12"/>
    </row>
    <row r="158" spans="1:6" x14ac:dyDescent="0.35">
      <c r="B158" s="4" t="s">
        <v>79</v>
      </c>
      <c r="C158" s="3">
        <v>1</v>
      </c>
      <c r="D158" s="2">
        <v>0</v>
      </c>
      <c r="E158" s="2">
        <f t="shared" si="3"/>
        <v>1</v>
      </c>
      <c r="F158" s="9">
        <f>E158/181</f>
        <v>5.5248618784530384E-3</v>
      </c>
    </row>
    <row r="159" spans="1:6" x14ac:dyDescent="0.35">
      <c r="B159" s="4" t="s">
        <v>62</v>
      </c>
      <c r="C159" s="3">
        <v>2</v>
      </c>
      <c r="D159" s="2">
        <v>0</v>
      </c>
      <c r="E159" s="2">
        <f t="shared" si="3"/>
        <v>2</v>
      </c>
      <c r="F159" s="9">
        <f>E159/181</f>
        <v>1.1049723756906077E-2</v>
      </c>
    </row>
    <row r="160" spans="1:6" x14ac:dyDescent="0.35">
      <c r="B160" s="4" t="s">
        <v>127</v>
      </c>
      <c r="C160" s="3">
        <v>1</v>
      </c>
      <c r="D160" s="2">
        <v>0</v>
      </c>
      <c r="E160" s="2">
        <f t="shared" si="3"/>
        <v>1</v>
      </c>
      <c r="F160" s="9">
        <v>5.5248618784530384E-3</v>
      </c>
    </row>
    <row r="161" spans="2:6" x14ac:dyDescent="0.35">
      <c r="B161" s="4" t="s">
        <v>294</v>
      </c>
      <c r="C161" s="3">
        <v>1</v>
      </c>
      <c r="D161" s="2">
        <v>0</v>
      </c>
      <c r="E161" s="2">
        <f t="shared" si="3"/>
        <v>1</v>
      </c>
      <c r="F161" s="9">
        <v>5.5248618784530384E-3</v>
      </c>
    </row>
    <row r="162" spans="2:6" x14ac:dyDescent="0.35">
      <c r="B162" s="4" t="s">
        <v>340</v>
      </c>
      <c r="C162" s="3">
        <v>1</v>
      </c>
      <c r="D162" s="2">
        <v>0</v>
      </c>
      <c r="E162" s="2">
        <f t="shared" si="3"/>
        <v>1</v>
      </c>
      <c r="F162" s="9">
        <v>5.5248618784530384E-3</v>
      </c>
    </row>
    <row r="163" spans="2:6" x14ac:dyDescent="0.35">
      <c r="B163" s="4" t="s">
        <v>395</v>
      </c>
      <c r="C163" s="3">
        <v>1</v>
      </c>
      <c r="D163" s="2">
        <v>0</v>
      </c>
      <c r="E163" s="2">
        <f t="shared" si="3"/>
        <v>1</v>
      </c>
      <c r="F163" s="9">
        <v>5.5248618784530384E-3</v>
      </c>
    </row>
    <row r="164" spans="2:6" x14ac:dyDescent="0.35">
      <c r="B164" s="4" t="s">
        <v>196</v>
      </c>
      <c r="C164" s="3">
        <v>2</v>
      </c>
      <c r="D164" s="2">
        <v>1</v>
      </c>
      <c r="E164" s="2">
        <f t="shared" si="3"/>
        <v>3</v>
      </c>
      <c r="F164" s="9">
        <v>1.6574585635359115E-2</v>
      </c>
    </row>
    <row r="165" spans="2:6" x14ac:dyDescent="0.35">
      <c r="B165" s="4" t="s">
        <v>288</v>
      </c>
      <c r="C165" s="3">
        <v>2</v>
      </c>
      <c r="D165" s="2">
        <v>0</v>
      </c>
      <c r="E165" s="2">
        <f t="shared" si="3"/>
        <v>2</v>
      </c>
      <c r="F165" s="9">
        <v>1.1049723756906077E-2</v>
      </c>
    </row>
    <row r="166" spans="2:6" x14ac:dyDescent="0.35">
      <c r="B166" s="4" t="s">
        <v>298</v>
      </c>
      <c r="C166" s="3">
        <v>1</v>
      </c>
      <c r="D166" s="2">
        <v>0</v>
      </c>
      <c r="E166" s="2">
        <f t="shared" si="3"/>
        <v>1</v>
      </c>
      <c r="F166" s="9">
        <v>5.5248618784530384E-3</v>
      </c>
    </row>
    <row r="167" spans="2:6" x14ac:dyDescent="0.35">
      <c r="B167" s="4" t="s">
        <v>162</v>
      </c>
      <c r="C167" s="3">
        <v>1</v>
      </c>
      <c r="D167" s="2">
        <v>0</v>
      </c>
      <c r="E167" s="2">
        <f t="shared" si="3"/>
        <v>1</v>
      </c>
      <c r="F167" s="9">
        <v>5.5248618784530384E-3</v>
      </c>
    </row>
    <row r="168" spans="2:6" x14ac:dyDescent="0.35">
      <c r="B168" s="4" t="s">
        <v>222</v>
      </c>
      <c r="C168" s="3">
        <v>1</v>
      </c>
      <c r="D168" s="2">
        <v>0</v>
      </c>
      <c r="E168" s="2">
        <f t="shared" si="3"/>
        <v>1</v>
      </c>
      <c r="F168" s="9">
        <v>5.5248618784530384E-3</v>
      </c>
    </row>
    <row r="169" spans="2:6" x14ac:dyDescent="0.35">
      <c r="B169" s="4" t="s">
        <v>299</v>
      </c>
      <c r="C169" s="3">
        <v>2</v>
      </c>
      <c r="D169" s="2">
        <v>0</v>
      </c>
      <c r="E169" s="2">
        <f t="shared" si="3"/>
        <v>2</v>
      </c>
      <c r="F169" s="9">
        <v>1.1049723756906077E-2</v>
      </c>
    </row>
    <row r="170" spans="2:6" x14ac:dyDescent="0.35">
      <c r="B170" s="4" t="s">
        <v>378</v>
      </c>
      <c r="C170" s="3">
        <v>3</v>
      </c>
      <c r="D170" s="2">
        <v>0</v>
      </c>
      <c r="E170" s="2">
        <f t="shared" si="3"/>
        <v>3</v>
      </c>
      <c r="F170" s="9">
        <v>1.6574585635359115E-2</v>
      </c>
    </row>
    <row r="171" spans="2:6" x14ac:dyDescent="0.35">
      <c r="B171" s="4" t="s">
        <v>250</v>
      </c>
      <c r="C171" s="3">
        <v>2</v>
      </c>
      <c r="D171" s="2">
        <v>0</v>
      </c>
      <c r="E171" s="2">
        <f t="shared" si="3"/>
        <v>2</v>
      </c>
      <c r="F171" s="9">
        <v>1.1049723756906077E-2</v>
      </c>
    </row>
    <row r="172" spans="2:6" x14ac:dyDescent="0.35">
      <c r="B172" s="4" t="s">
        <v>129</v>
      </c>
      <c r="C172" s="3">
        <v>1</v>
      </c>
      <c r="D172" s="2">
        <v>0</v>
      </c>
      <c r="E172" s="2">
        <f t="shared" si="3"/>
        <v>1</v>
      </c>
      <c r="F172" s="9">
        <v>5.5248618784530384E-3</v>
      </c>
    </row>
    <row r="173" spans="2:6" x14ac:dyDescent="0.35">
      <c r="B173" s="4" t="s">
        <v>267</v>
      </c>
      <c r="C173" s="3">
        <v>2</v>
      </c>
      <c r="D173" s="2">
        <v>0</v>
      </c>
      <c r="E173" s="2">
        <f t="shared" si="3"/>
        <v>2</v>
      </c>
      <c r="F173" s="9">
        <v>1.1049723756906077E-2</v>
      </c>
    </row>
    <row r="174" spans="2:6" x14ac:dyDescent="0.35">
      <c r="B174" s="4" t="s">
        <v>209</v>
      </c>
      <c r="C174" s="3">
        <v>1</v>
      </c>
      <c r="D174" s="2">
        <v>0</v>
      </c>
      <c r="E174" s="2">
        <f t="shared" si="3"/>
        <v>1</v>
      </c>
      <c r="F174" s="9">
        <v>5.5248618784530384E-3</v>
      </c>
    </row>
    <row r="175" spans="2:6" x14ac:dyDescent="0.35">
      <c r="B175" s="4" t="s">
        <v>365</v>
      </c>
      <c r="C175" s="3">
        <v>1</v>
      </c>
      <c r="D175" s="2">
        <v>0</v>
      </c>
      <c r="E175" s="2">
        <f t="shared" si="3"/>
        <v>1</v>
      </c>
      <c r="F175" s="9">
        <v>5.5248618784530384E-3</v>
      </c>
    </row>
    <row r="176" spans="2:6" x14ac:dyDescent="0.35">
      <c r="B176" s="4" t="s">
        <v>85</v>
      </c>
      <c r="C176" s="3">
        <v>2</v>
      </c>
      <c r="D176" s="2">
        <v>0</v>
      </c>
      <c r="E176" s="2">
        <f t="shared" si="3"/>
        <v>2</v>
      </c>
      <c r="F176" s="9">
        <v>1.1049723756906077E-2</v>
      </c>
    </row>
    <row r="177" spans="2:6" x14ac:dyDescent="0.35">
      <c r="B177" s="4" t="s">
        <v>402</v>
      </c>
      <c r="C177" s="3">
        <v>1</v>
      </c>
      <c r="D177" s="2">
        <v>0</v>
      </c>
      <c r="E177" s="2">
        <f t="shared" si="3"/>
        <v>1</v>
      </c>
      <c r="F177" s="9">
        <v>5.5248618784530384E-3</v>
      </c>
    </row>
    <row r="178" spans="2:6" x14ac:dyDescent="0.35">
      <c r="B178" s="4" t="s">
        <v>392</v>
      </c>
      <c r="C178" s="3">
        <v>1</v>
      </c>
      <c r="D178" s="2">
        <v>0</v>
      </c>
      <c r="E178" s="2">
        <f t="shared" si="3"/>
        <v>1</v>
      </c>
      <c r="F178" s="9">
        <v>5.5248618784530384E-3</v>
      </c>
    </row>
    <row r="179" spans="2:6" x14ac:dyDescent="0.35">
      <c r="B179" s="4" t="s">
        <v>220</v>
      </c>
      <c r="C179" s="3">
        <v>1</v>
      </c>
      <c r="D179" s="2">
        <v>0</v>
      </c>
      <c r="E179" s="2">
        <f t="shared" si="3"/>
        <v>1</v>
      </c>
      <c r="F179" s="9">
        <v>5.5248618784530384E-3</v>
      </c>
    </row>
    <row r="180" spans="2:6" x14ac:dyDescent="0.35">
      <c r="B180" s="4" t="s">
        <v>276</v>
      </c>
      <c r="C180" s="3">
        <v>3</v>
      </c>
      <c r="D180" s="2">
        <v>1</v>
      </c>
      <c r="E180" s="2">
        <f t="shared" si="3"/>
        <v>4</v>
      </c>
      <c r="F180" s="9">
        <v>2.2099447513812154E-2</v>
      </c>
    </row>
    <row r="181" spans="2:6" x14ac:dyDescent="0.35">
      <c r="B181" s="4" t="s">
        <v>32</v>
      </c>
      <c r="C181" s="3">
        <v>1</v>
      </c>
      <c r="D181" s="2">
        <v>0</v>
      </c>
      <c r="E181" s="2">
        <f t="shared" si="3"/>
        <v>1</v>
      </c>
      <c r="F181" s="9">
        <v>5.5248618784530384E-3</v>
      </c>
    </row>
    <row r="182" spans="2:6" x14ac:dyDescent="0.35">
      <c r="B182" s="4" t="s">
        <v>213</v>
      </c>
      <c r="C182" s="3">
        <v>3</v>
      </c>
      <c r="D182" s="2">
        <v>0</v>
      </c>
      <c r="E182" s="2">
        <f t="shared" si="3"/>
        <v>3</v>
      </c>
      <c r="F182" s="9">
        <v>1.6574585635359115E-2</v>
      </c>
    </row>
    <row r="183" spans="2:6" x14ac:dyDescent="0.35">
      <c r="B183" s="4" t="s">
        <v>256</v>
      </c>
      <c r="C183" s="3">
        <v>1</v>
      </c>
      <c r="D183" s="2">
        <v>0</v>
      </c>
      <c r="E183" s="2">
        <f t="shared" si="3"/>
        <v>1</v>
      </c>
      <c r="F183" s="9">
        <v>5.5248618784530384E-3</v>
      </c>
    </row>
    <row r="184" spans="2:6" x14ac:dyDescent="0.35">
      <c r="B184" s="4" t="s">
        <v>254</v>
      </c>
      <c r="C184" s="3">
        <v>1</v>
      </c>
      <c r="D184" s="2">
        <v>0</v>
      </c>
      <c r="E184" s="2">
        <f t="shared" si="3"/>
        <v>1</v>
      </c>
      <c r="F184" s="9">
        <v>5.5248618784530384E-3</v>
      </c>
    </row>
    <row r="185" spans="2:6" x14ac:dyDescent="0.35">
      <c r="B185" s="4" t="s">
        <v>321</v>
      </c>
      <c r="C185" s="3">
        <v>1</v>
      </c>
      <c r="D185" s="2">
        <v>0</v>
      </c>
      <c r="E185" s="2">
        <f t="shared" si="3"/>
        <v>1</v>
      </c>
      <c r="F185" s="9">
        <v>5.5248618784530384E-3</v>
      </c>
    </row>
    <row r="186" spans="2:6" x14ac:dyDescent="0.35">
      <c r="B186" s="4" t="s">
        <v>235</v>
      </c>
      <c r="C186" s="3">
        <v>1</v>
      </c>
      <c r="D186" s="2">
        <v>0</v>
      </c>
      <c r="E186" s="2">
        <f t="shared" si="3"/>
        <v>1</v>
      </c>
      <c r="F186" s="9">
        <v>5.5248618784530384E-3</v>
      </c>
    </row>
    <row r="187" spans="2:6" x14ac:dyDescent="0.35">
      <c r="B187" s="4" t="s">
        <v>313</v>
      </c>
      <c r="C187" s="3">
        <v>3</v>
      </c>
      <c r="D187" s="2">
        <v>0</v>
      </c>
      <c r="E187" s="2">
        <f t="shared" si="3"/>
        <v>3</v>
      </c>
      <c r="F187" s="9">
        <v>1.6574585635359115E-2</v>
      </c>
    </row>
    <row r="188" spans="2:6" x14ac:dyDescent="0.35">
      <c r="B188" s="4" t="s">
        <v>328</v>
      </c>
      <c r="C188" s="3">
        <v>2</v>
      </c>
      <c r="D188" s="2">
        <v>0</v>
      </c>
      <c r="E188" s="2">
        <f t="shared" si="3"/>
        <v>2</v>
      </c>
      <c r="F188" s="9">
        <v>1.1049723756906077E-2</v>
      </c>
    </row>
    <row r="189" spans="2:6" x14ac:dyDescent="0.35">
      <c r="B189" s="4" t="s">
        <v>259</v>
      </c>
      <c r="C189" s="3">
        <v>1</v>
      </c>
      <c r="D189" s="2">
        <v>0</v>
      </c>
      <c r="E189" s="2">
        <f t="shared" si="3"/>
        <v>1</v>
      </c>
      <c r="F189" s="9">
        <v>5.5248618784530384E-3</v>
      </c>
    </row>
    <row r="190" spans="2:6" x14ac:dyDescent="0.35">
      <c r="B190" s="4" t="s">
        <v>77</v>
      </c>
      <c r="C190" s="3">
        <v>1</v>
      </c>
      <c r="D190" s="2">
        <v>0</v>
      </c>
      <c r="E190" s="2">
        <f t="shared" si="3"/>
        <v>1</v>
      </c>
      <c r="F190" s="9">
        <v>5.5248618784530384E-3</v>
      </c>
    </row>
    <row r="191" spans="2:6" x14ac:dyDescent="0.35">
      <c r="B191" s="4" t="s">
        <v>413</v>
      </c>
      <c r="C191" s="3">
        <v>1</v>
      </c>
      <c r="D191" s="2">
        <v>0</v>
      </c>
      <c r="E191" s="2">
        <f t="shared" si="3"/>
        <v>1</v>
      </c>
      <c r="F191" s="9">
        <v>5.5248618784530384E-3</v>
      </c>
    </row>
    <row r="192" spans="2:6" x14ac:dyDescent="0.35">
      <c r="B192" s="4" t="s">
        <v>348</v>
      </c>
      <c r="C192" s="3">
        <v>1</v>
      </c>
      <c r="D192" s="2">
        <v>0</v>
      </c>
      <c r="E192" s="2">
        <f t="shared" si="3"/>
        <v>1</v>
      </c>
      <c r="F192" s="9">
        <v>5.5248618784530384E-3</v>
      </c>
    </row>
    <row r="193" spans="2:6" x14ac:dyDescent="0.35">
      <c r="B193" s="4" t="s">
        <v>183</v>
      </c>
      <c r="C193" s="3">
        <v>1</v>
      </c>
      <c r="D193" s="2">
        <v>0</v>
      </c>
      <c r="E193" s="2">
        <f t="shared" si="3"/>
        <v>1</v>
      </c>
      <c r="F193" s="9">
        <v>5.5248618784530384E-3</v>
      </c>
    </row>
    <row r="194" spans="2:6" x14ac:dyDescent="0.35">
      <c r="B194" s="4" t="s">
        <v>130</v>
      </c>
      <c r="C194" s="3">
        <v>1</v>
      </c>
      <c r="D194" s="2">
        <v>0</v>
      </c>
      <c r="E194" s="2">
        <f t="shared" si="3"/>
        <v>1</v>
      </c>
      <c r="F194" s="9">
        <v>5.5248618784530384E-3</v>
      </c>
    </row>
    <row r="195" spans="2:6" x14ac:dyDescent="0.35">
      <c r="B195" s="4" t="s">
        <v>266</v>
      </c>
      <c r="C195" s="3">
        <v>1</v>
      </c>
      <c r="D195" s="2">
        <v>0</v>
      </c>
      <c r="E195" s="2">
        <f t="shared" si="3"/>
        <v>1</v>
      </c>
      <c r="F195" s="9">
        <v>5.5248618784530384E-3</v>
      </c>
    </row>
    <row r="196" spans="2:6" x14ac:dyDescent="0.35">
      <c r="B196" s="4" t="s">
        <v>197</v>
      </c>
      <c r="C196" s="3">
        <v>1</v>
      </c>
      <c r="D196" s="2">
        <v>1</v>
      </c>
      <c r="E196" s="2">
        <f t="shared" ref="E196:E259" si="5">C196+D196</f>
        <v>2</v>
      </c>
      <c r="F196" s="9">
        <v>1.1049723756906077E-2</v>
      </c>
    </row>
    <row r="197" spans="2:6" x14ac:dyDescent="0.35">
      <c r="B197" s="4" t="s">
        <v>285</v>
      </c>
      <c r="C197" s="3">
        <v>2</v>
      </c>
      <c r="D197" s="2">
        <v>1</v>
      </c>
      <c r="E197" s="2">
        <f t="shared" si="5"/>
        <v>3</v>
      </c>
      <c r="F197" s="9">
        <v>1.6574585635359115E-2</v>
      </c>
    </row>
    <row r="198" spans="2:6" x14ac:dyDescent="0.35">
      <c r="B198" s="4" t="s">
        <v>325</v>
      </c>
      <c r="C198" s="3">
        <v>2</v>
      </c>
      <c r="D198" s="2">
        <v>0</v>
      </c>
      <c r="E198" s="2">
        <f t="shared" si="5"/>
        <v>2</v>
      </c>
      <c r="F198" s="9">
        <v>1.1049723756906077E-2</v>
      </c>
    </row>
    <row r="199" spans="2:6" x14ac:dyDescent="0.35">
      <c r="B199" s="4" t="s">
        <v>315</v>
      </c>
      <c r="C199" s="3">
        <v>1</v>
      </c>
      <c r="D199" s="2">
        <v>0</v>
      </c>
      <c r="E199" s="2">
        <f t="shared" si="5"/>
        <v>1</v>
      </c>
      <c r="F199" s="9">
        <v>5.5248618784530384E-3</v>
      </c>
    </row>
    <row r="200" spans="2:6" x14ac:dyDescent="0.35">
      <c r="B200" s="4" t="s">
        <v>140</v>
      </c>
      <c r="C200" s="3">
        <v>2</v>
      </c>
      <c r="D200" s="2">
        <v>0</v>
      </c>
      <c r="E200" s="2">
        <f t="shared" si="5"/>
        <v>2</v>
      </c>
      <c r="F200" s="9">
        <v>1.1049723756906077E-2</v>
      </c>
    </row>
    <row r="201" spans="2:6" x14ac:dyDescent="0.35">
      <c r="B201" s="4" t="s">
        <v>351</v>
      </c>
      <c r="C201" s="3">
        <v>1</v>
      </c>
      <c r="D201" s="2">
        <v>0</v>
      </c>
      <c r="E201" s="2">
        <f t="shared" si="5"/>
        <v>1</v>
      </c>
      <c r="F201" s="9">
        <v>5.5248618784530384E-3</v>
      </c>
    </row>
    <row r="202" spans="2:6" x14ac:dyDescent="0.35">
      <c r="B202" s="4" t="s">
        <v>233</v>
      </c>
      <c r="C202" s="3">
        <v>2</v>
      </c>
      <c r="D202" s="2">
        <v>0</v>
      </c>
      <c r="E202" s="2">
        <f t="shared" si="5"/>
        <v>2</v>
      </c>
      <c r="F202" s="9">
        <v>1.1049723756906077E-2</v>
      </c>
    </row>
    <row r="203" spans="2:6" x14ac:dyDescent="0.35">
      <c r="B203" s="4" t="s">
        <v>204</v>
      </c>
      <c r="C203" s="3">
        <v>1</v>
      </c>
      <c r="D203" s="2">
        <v>0</v>
      </c>
      <c r="E203" s="2">
        <f t="shared" si="5"/>
        <v>1</v>
      </c>
      <c r="F203" s="9">
        <v>5.5248618784530384E-3</v>
      </c>
    </row>
    <row r="204" spans="2:6" x14ac:dyDescent="0.35">
      <c r="B204" s="4" t="s">
        <v>241</v>
      </c>
      <c r="C204" s="3">
        <v>1</v>
      </c>
      <c r="D204" s="2">
        <v>0</v>
      </c>
      <c r="E204" s="2">
        <f t="shared" si="5"/>
        <v>1</v>
      </c>
      <c r="F204" s="9">
        <v>5.5248618784530384E-3</v>
      </c>
    </row>
    <row r="205" spans="2:6" x14ac:dyDescent="0.35">
      <c r="B205" s="4" t="s">
        <v>201</v>
      </c>
      <c r="C205" s="3">
        <v>1</v>
      </c>
      <c r="D205" s="2">
        <v>0</v>
      </c>
      <c r="E205" s="2">
        <f t="shared" si="5"/>
        <v>1</v>
      </c>
      <c r="F205" s="9">
        <v>5.5248618784530384E-3</v>
      </c>
    </row>
    <row r="206" spans="2:6" x14ac:dyDescent="0.35">
      <c r="B206" s="4" t="s">
        <v>207</v>
      </c>
      <c r="C206" s="3">
        <v>1</v>
      </c>
      <c r="D206" s="2">
        <v>0</v>
      </c>
      <c r="E206" s="2">
        <f t="shared" si="5"/>
        <v>1</v>
      </c>
      <c r="F206" s="9">
        <v>5.5248618784530384E-3</v>
      </c>
    </row>
    <row r="207" spans="2:6" x14ac:dyDescent="0.35">
      <c r="B207" s="4" t="s">
        <v>269</v>
      </c>
      <c r="C207" s="3">
        <v>1</v>
      </c>
      <c r="D207" s="2">
        <v>0</v>
      </c>
      <c r="E207" s="2">
        <f t="shared" si="5"/>
        <v>1</v>
      </c>
      <c r="F207" s="9">
        <v>5.5248618784530384E-3</v>
      </c>
    </row>
    <row r="208" spans="2:6" x14ac:dyDescent="0.35">
      <c r="B208" s="4" t="s">
        <v>243</v>
      </c>
      <c r="C208" s="3">
        <v>1</v>
      </c>
      <c r="D208" s="2">
        <v>0</v>
      </c>
      <c r="E208" s="2">
        <f t="shared" si="5"/>
        <v>1</v>
      </c>
      <c r="F208" s="9">
        <v>5.5248618784530384E-3</v>
      </c>
    </row>
    <row r="209" spans="2:6" x14ac:dyDescent="0.35">
      <c r="B209" s="4" t="s">
        <v>192</v>
      </c>
      <c r="C209" s="3">
        <v>1</v>
      </c>
      <c r="D209" s="2">
        <v>0</v>
      </c>
      <c r="E209" s="2">
        <f t="shared" si="5"/>
        <v>1</v>
      </c>
      <c r="F209" s="9">
        <v>5.5248618784530384E-3</v>
      </c>
    </row>
    <row r="210" spans="2:6" x14ac:dyDescent="0.35">
      <c r="B210" s="4" t="s">
        <v>37</v>
      </c>
      <c r="C210" s="3">
        <v>2</v>
      </c>
      <c r="D210" s="2">
        <v>0</v>
      </c>
      <c r="E210" s="2">
        <f t="shared" si="5"/>
        <v>2</v>
      </c>
      <c r="F210" s="9">
        <v>1.1049723756906077E-2</v>
      </c>
    </row>
    <row r="211" spans="2:6" x14ac:dyDescent="0.35">
      <c r="B211" s="4" t="s">
        <v>215</v>
      </c>
      <c r="C211" s="3">
        <v>2</v>
      </c>
      <c r="D211" s="2">
        <v>0</v>
      </c>
      <c r="E211" s="2">
        <f t="shared" si="5"/>
        <v>2</v>
      </c>
      <c r="F211" s="9">
        <v>1.1049723756906077E-2</v>
      </c>
    </row>
    <row r="212" spans="2:6" x14ac:dyDescent="0.35">
      <c r="B212" s="4" t="s">
        <v>331</v>
      </c>
      <c r="C212" s="3">
        <v>1</v>
      </c>
      <c r="D212" s="2">
        <v>0</v>
      </c>
      <c r="E212" s="2">
        <f t="shared" si="5"/>
        <v>1</v>
      </c>
      <c r="F212" s="9">
        <v>5.5248618784530384E-3</v>
      </c>
    </row>
    <row r="213" spans="2:6" x14ac:dyDescent="0.35">
      <c r="B213" s="4" t="s">
        <v>211</v>
      </c>
      <c r="C213" s="3">
        <v>1</v>
      </c>
      <c r="D213" s="2">
        <v>0</v>
      </c>
      <c r="E213" s="2">
        <f t="shared" si="5"/>
        <v>1</v>
      </c>
      <c r="F213" s="9">
        <v>5.5248618784530384E-3</v>
      </c>
    </row>
    <row r="214" spans="2:6" x14ac:dyDescent="0.35">
      <c r="B214" s="4" t="s">
        <v>239</v>
      </c>
      <c r="C214" s="3">
        <v>1</v>
      </c>
      <c r="D214" s="2">
        <v>0</v>
      </c>
      <c r="E214" s="2">
        <f t="shared" si="5"/>
        <v>1</v>
      </c>
      <c r="F214" s="9">
        <v>5.5248618784530384E-3</v>
      </c>
    </row>
    <row r="215" spans="2:6" x14ac:dyDescent="0.35">
      <c r="B215" s="4" t="s">
        <v>322</v>
      </c>
      <c r="C215" s="3">
        <v>1</v>
      </c>
      <c r="D215" s="2">
        <v>1</v>
      </c>
      <c r="E215" s="2">
        <f t="shared" si="5"/>
        <v>2</v>
      </c>
      <c r="F215" s="9">
        <v>1.1049723756906077E-2</v>
      </c>
    </row>
    <row r="216" spans="2:6" x14ac:dyDescent="0.35">
      <c r="B216" s="4" t="s">
        <v>93</v>
      </c>
      <c r="C216" s="3">
        <v>1</v>
      </c>
      <c r="D216" s="2">
        <v>1</v>
      </c>
      <c r="E216" s="2">
        <f t="shared" si="5"/>
        <v>2</v>
      </c>
      <c r="F216" s="9">
        <v>1.1049723756906077E-2</v>
      </c>
    </row>
    <row r="217" spans="2:6" x14ac:dyDescent="0.35">
      <c r="B217" s="4" t="s">
        <v>198</v>
      </c>
      <c r="C217" s="3">
        <v>4</v>
      </c>
      <c r="D217" s="2">
        <v>0</v>
      </c>
      <c r="E217" s="2">
        <f t="shared" si="5"/>
        <v>4</v>
      </c>
      <c r="F217" s="9">
        <v>2.2099447513812154E-2</v>
      </c>
    </row>
    <row r="218" spans="2:6" x14ac:dyDescent="0.35">
      <c r="B218" s="4" t="s">
        <v>277</v>
      </c>
      <c r="C218" s="3">
        <v>1</v>
      </c>
      <c r="D218" s="2">
        <v>0</v>
      </c>
      <c r="E218" s="2">
        <f t="shared" si="5"/>
        <v>1</v>
      </c>
      <c r="F218" s="9">
        <v>5.5248618784530384E-3</v>
      </c>
    </row>
    <row r="219" spans="2:6" x14ac:dyDescent="0.35">
      <c r="B219" s="4" t="s">
        <v>216</v>
      </c>
      <c r="C219" s="3">
        <v>1</v>
      </c>
      <c r="D219" s="2">
        <v>0</v>
      </c>
      <c r="E219" s="2">
        <f t="shared" si="5"/>
        <v>1</v>
      </c>
      <c r="F219" s="9">
        <v>5.5248618784530384E-3</v>
      </c>
    </row>
    <row r="220" spans="2:6" x14ac:dyDescent="0.35">
      <c r="B220" s="4" t="s">
        <v>332</v>
      </c>
      <c r="C220" s="3">
        <v>1</v>
      </c>
      <c r="D220" s="2">
        <v>0</v>
      </c>
      <c r="E220" s="2">
        <f t="shared" si="5"/>
        <v>1</v>
      </c>
      <c r="F220" s="9">
        <v>5.5248618784530384E-3</v>
      </c>
    </row>
    <row r="221" spans="2:6" x14ac:dyDescent="0.35">
      <c r="B221" s="4" t="s">
        <v>126</v>
      </c>
      <c r="C221" s="3">
        <v>1</v>
      </c>
      <c r="D221" s="2">
        <v>1</v>
      </c>
      <c r="E221" s="2">
        <f t="shared" si="5"/>
        <v>2</v>
      </c>
      <c r="F221" s="9">
        <v>1.1049723756906077E-2</v>
      </c>
    </row>
    <row r="222" spans="2:6" x14ac:dyDescent="0.35">
      <c r="B222" s="4" t="s">
        <v>318</v>
      </c>
      <c r="C222" s="3">
        <v>1</v>
      </c>
      <c r="D222" s="2">
        <v>0</v>
      </c>
      <c r="E222" s="2">
        <f t="shared" si="5"/>
        <v>1</v>
      </c>
      <c r="F222" s="9">
        <v>5.5248618784530384E-3</v>
      </c>
    </row>
    <row r="223" spans="2:6" x14ac:dyDescent="0.35">
      <c r="B223" s="4" t="s">
        <v>278</v>
      </c>
      <c r="C223" s="3">
        <v>1</v>
      </c>
      <c r="D223" s="2">
        <v>0</v>
      </c>
      <c r="E223" s="2">
        <f t="shared" si="5"/>
        <v>1</v>
      </c>
      <c r="F223" s="9">
        <v>5.5248618784530384E-3</v>
      </c>
    </row>
    <row r="224" spans="2:6" x14ac:dyDescent="0.35">
      <c r="B224" s="4" t="s">
        <v>231</v>
      </c>
      <c r="C224" s="3">
        <v>3</v>
      </c>
      <c r="D224" s="2">
        <v>0</v>
      </c>
      <c r="E224" s="2">
        <f t="shared" si="5"/>
        <v>3</v>
      </c>
      <c r="F224" s="9">
        <v>1.6574585635359115E-2</v>
      </c>
    </row>
    <row r="225" spans="2:6" x14ac:dyDescent="0.35">
      <c r="B225" s="4" t="s">
        <v>154</v>
      </c>
      <c r="C225" s="3">
        <v>1</v>
      </c>
      <c r="D225" s="2">
        <v>0</v>
      </c>
      <c r="E225" s="2">
        <f t="shared" si="5"/>
        <v>1</v>
      </c>
      <c r="F225" s="9">
        <v>5.5248618784530384E-3</v>
      </c>
    </row>
    <row r="226" spans="2:6" x14ac:dyDescent="0.35">
      <c r="B226" s="4" t="s">
        <v>110</v>
      </c>
      <c r="C226" s="3">
        <v>3</v>
      </c>
      <c r="D226" s="2">
        <v>0</v>
      </c>
      <c r="E226" s="2">
        <f t="shared" si="5"/>
        <v>3</v>
      </c>
      <c r="F226" s="9">
        <v>1.6574585635359115E-2</v>
      </c>
    </row>
    <row r="227" spans="2:6" x14ac:dyDescent="0.35">
      <c r="B227" s="4" t="s">
        <v>279</v>
      </c>
      <c r="C227" s="3">
        <v>1</v>
      </c>
      <c r="D227" s="2">
        <v>0</v>
      </c>
      <c r="E227" s="2">
        <f t="shared" si="5"/>
        <v>1</v>
      </c>
      <c r="F227" s="9">
        <v>5.5248618784530384E-3</v>
      </c>
    </row>
    <row r="228" spans="2:6" x14ac:dyDescent="0.35">
      <c r="B228" s="4" t="s">
        <v>121</v>
      </c>
      <c r="C228" s="3">
        <v>1</v>
      </c>
      <c r="D228" s="2">
        <v>0</v>
      </c>
      <c r="E228" s="2">
        <f t="shared" si="5"/>
        <v>1</v>
      </c>
      <c r="F228" s="9">
        <v>5.5248618784530384E-3</v>
      </c>
    </row>
    <row r="229" spans="2:6" x14ac:dyDescent="0.35">
      <c r="B229" s="4" t="s">
        <v>260</v>
      </c>
      <c r="C229" s="3">
        <v>1</v>
      </c>
      <c r="D229" s="2">
        <v>0</v>
      </c>
      <c r="E229" s="2">
        <f t="shared" si="5"/>
        <v>1</v>
      </c>
      <c r="F229" s="9">
        <v>5.5248618784530384E-3</v>
      </c>
    </row>
    <row r="230" spans="2:6" x14ac:dyDescent="0.35">
      <c r="B230" s="4" t="s">
        <v>305</v>
      </c>
      <c r="C230" s="3">
        <v>1</v>
      </c>
      <c r="D230" s="2">
        <v>0</v>
      </c>
      <c r="E230" s="2">
        <f t="shared" si="5"/>
        <v>1</v>
      </c>
      <c r="F230" s="9">
        <v>5.5248618784530384E-3</v>
      </c>
    </row>
    <row r="231" spans="2:6" x14ac:dyDescent="0.35">
      <c r="B231" s="4" t="s">
        <v>203</v>
      </c>
      <c r="C231" s="3">
        <v>1</v>
      </c>
      <c r="D231" s="2">
        <v>0</v>
      </c>
      <c r="E231" s="2">
        <f t="shared" si="5"/>
        <v>1</v>
      </c>
      <c r="F231" s="9">
        <v>5.5248618784530384E-3</v>
      </c>
    </row>
    <row r="232" spans="2:6" x14ac:dyDescent="0.35">
      <c r="B232" s="4" t="s">
        <v>252</v>
      </c>
      <c r="C232" s="3">
        <v>1</v>
      </c>
      <c r="D232" s="2">
        <v>0</v>
      </c>
      <c r="E232" s="2">
        <f t="shared" si="5"/>
        <v>1</v>
      </c>
      <c r="F232" s="9">
        <v>5.5248618784530384E-3</v>
      </c>
    </row>
    <row r="233" spans="2:6" x14ac:dyDescent="0.35">
      <c r="B233" s="4" t="s">
        <v>363</v>
      </c>
      <c r="C233" s="3">
        <v>1</v>
      </c>
      <c r="D233" s="2">
        <v>0</v>
      </c>
      <c r="E233" s="2">
        <f t="shared" si="5"/>
        <v>1</v>
      </c>
      <c r="F233" s="9">
        <v>5.5248618784530384E-3</v>
      </c>
    </row>
    <row r="234" spans="2:6" x14ac:dyDescent="0.35">
      <c r="B234" s="4" t="s">
        <v>205</v>
      </c>
      <c r="C234" s="3">
        <v>2</v>
      </c>
      <c r="D234" s="2">
        <v>0</v>
      </c>
      <c r="E234" s="2">
        <f t="shared" si="5"/>
        <v>2</v>
      </c>
      <c r="F234" s="9">
        <v>1.1049723756906077E-2</v>
      </c>
    </row>
    <row r="235" spans="2:6" x14ac:dyDescent="0.35">
      <c r="B235" s="4" t="s">
        <v>58</v>
      </c>
      <c r="C235" s="3">
        <v>1</v>
      </c>
      <c r="D235" s="2">
        <v>0</v>
      </c>
      <c r="E235" s="2">
        <f t="shared" si="5"/>
        <v>1</v>
      </c>
      <c r="F235" s="9">
        <v>5.5248618784530384E-3</v>
      </c>
    </row>
    <row r="236" spans="2:6" x14ac:dyDescent="0.35">
      <c r="B236" s="4" t="s">
        <v>330</v>
      </c>
      <c r="C236" s="3">
        <v>1</v>
      </c>
      <c r="D236" s="2">
        <v>0</v>
      </c>
      <c r="E236" s="2">
        <f t="shared" si="5"/>
        <v>1</v>
      </c>
      <c r="F236" s="9">
        <v>5.5248618784530384E-3</v>
      </c>
    </row>
    <row r="237" spans="2:6" x14ac:dyDescent="0.35">
      <c r="B237" s="4" t="s">
        <v>170</v>
      </c>
      <c r="C237" s="3">
        <v>1</v>
      </c>
      <c r="D237" s="2">
        <v>0</v>
      </c>
      <c r="E237" s="2">
        <f t="shared" si="5"/>
        <v>1</v>
      </c>
      <c r="F237" s="9">
        <v>5.5248618784530384E-3</v>
      </c>
    </row>
    <row r="238" spans="2:6" x14ac:dyDescent="0.35">
      <c r="B238" s="4" t="s">
        <v>175</v>
      </c>
      <c r="C238" s="3">
        <v>1</v>
      </c>
      <c r="D238" s="2">
        <v>1</v>
      </c>
      <c r="E238" s="2">
        <f t="shared" si="5"/>
        <v>2</v>
      </c>
      <c r="F238" s="9">
        <v>1.1049723756906077E-2</v>
      </c>
    </row>
    <row r="239" spans="2:6" x14ac:dyDescent="0.35">
      <c r="B239" s="4" t="s">
        <v>399</v>
      </c>
      <c r="C239" s="3">
        <v>2</v>
      </c>
      <c r="D239" s="2">
        <v>0</v>
      </c>
      <c r="E239" s="2">
        <f t="shared" si="5"/>
        <v>2</v>
      </c>
      <c r="F239" s="9">
        <v>1.1049723756906077E-2</v>
      </c>
    </row>
    <row r="240" spans="2:6" x14ac:dyDescent="0.35">
      <c r="B240" s="4" t="s">
        <v>309</v>
      </c>
      <c r="C240" s="3">
        <v>1</v>
      </c>
      <c r="D240" s="2">
        <v>0</v>
      </c>
      <c r="E240" s="2">
        <f t="shared" si="5"/>
        <v>1</v>
      </c>
      <c r="F240" s="9">
        <v>5.5248618784530384E-3</v>
      </c>
    </row>
    <row r="241" spans="2:6" x14ac:dyDescent="0.35">
      <c r="B241" s="4" t="s">
        <v>314</v>
      </c>
      <c r="C241" s="3">
        <v>1</v>
      </c>
      <c r="D241" s="2">
        <v>0</v>
      </c>
      <c r="E241" s="2">
        <f t="shared" si="5"/>
        <v>1</v>
      </c>
      <c r="F241" s="9">
        <v>5.5248618784530384E-3</v>
      </c>
    </row>
    <row r="242" spans="2:6" x14ac:dyDescent="0.35">
      <c r="B242" s="4" t="s">
        <v>240</v>
      </c>
      <c r="C242" s="3">
        <v>1</v>
      </c>
      <c r="D242" s="2">
        <v>1</v>
      </c>
      <c r="E242" s="2">
        <f t="shared" si="5"/>
        <v>2</v>
      </c>
      <c r="F242" s="9">
        <v>1.1049723756906077E-2</v>
      </c>
    </row>
    <row r="243" spans="2:6" x14ac:dyDescent="0.35">
      <c r="B243" s="4" t="s">
        <v>164</v>
      </c>
      <c r="C243" s="3">
        <v>1</v>
      </c>
      <c r="D243" s="2">
        <v>0</v>
      </c>
      <c r="E243" s="2">
        <f t="shared" si="5"/>
        <v>1</v>
      </c>
      <c r="F243" s="9">
        <v>5.5248618784530384E-3</v>
      </c>
    </row>
    <row r="244" spans="2:6" x14ac:dyDescent="0.35">
      <c r="B244" s="4" t="s">
        <v>306</v>
      </c>
      <c r="C244" s="3">
        <v>4</v>
      </c>
      <c r="D244" s="2">
        <v>0</v>
      </c>
      <c r="E244" s="2">
        <f t="shared" si="5"/>
        <v>4</v>
      </c>
      <c r="F244" s="9">
        <v>2.2099447513812154E-2</v>
      </c>
    </row>
    <row r="245" spans="2:6" x14ac:dyDescent="0.35">
      <c r="B245" s="4" t="s">
        <v>66</v>
      </c>
      <c r="C245" s="3">
        <v>2</v>
      </c>
      <c r="D245" s="2">
        <v>0</v>
      </c>
      <c r="E245" s="2">
        <f t="shared" si="5"/>
        <v>2</v>
      </c>
      <c r="F245" s="9">
        <v>1.1049723756906077E-2</v>
      </c>
    </row>
    <row r="246" spans="2:6" x14ac:dyDescent="0.35">
      <c r="B246" s="4" t="s">
        <v>87</v>
      </c>
      <c r="C246" s="3">
        <v>1</v>
      </c>
      <c r="D246" s="2">
        <v>0</v>
      </c>
      <c r="E246" s="2">
        <f t="shared" si="5"/>
        <v>1</v>
      </c>
      <c r="F246" s="9">
        <v>5.5248618784530384E-3</v>
      </c>
    </row>
    <row r="247" spans="2:6" x14ac:dyDescent="0.35">
      <c r="B247" s="4" t="s">
        <v>303</v>
      </c>
      <c r="C247" s="3">
        <v>3</v>
      </c>
      <c r="D247" s="2">
        <v>0</v>
      </c>
      <c r="E247" s="2">
        <f t="shared" si="5"/>
        <v>3</v>
      </c>
      <c r="F247" s="9">
        <v>1.6574585635359115E-2</v>
      </c>
    </row>
    <row r="248" spans="2:6" x14ac:dyDescent="0.35">
      <c r="B248" s="4" t="s">
        <v>63</v>
      </c>
      <c r="C248" s="3">
        <v>1</v>
      </c>
      <c r="D248" s="2">
        <v>0</v>
      </c>
      <c r="E248" s="2">
        <f t="shared" si="5"/>
        <v>1</v>
      </c>
      <c r="F248" s="9">
        <v>5.5248618784530384E-3</v>
      </c>
    </row>
    <row r="249" spans="2:6" x14ac:dyDescent="0.35">
      <c r="B249" s="4" t="s">
        <v>153</v>
      </c>
      <c r="C249" s="3">
        <v>1</v>
      </c>
      <c r="D249" s="2">
        <v>0</v>
      </c>
      <c r="E249" s="2">
        <f t="shared" si="5"/>
        <v>1</v>
      </c>
      <c r="F249" s="9">
        <v>5.5248618784530384E-3</v>
      </c>
    </row>
    <row r="250" spans="2:6" x14ac:dyDescent="0.35">
      <c r="B250" s="4" t="s">
        <v>320</v>
      </c>
      <c r="C250" s="3">
        <v>1</v>
      </c>
      <c r="D250" s="2">
        <v>0</v>
      </c>
      <c r="E250" s="2">
        <f t="shared" si="5"/>
        <v>1</v>
      </c>
      <c r="F250" s="9">
        <v>5.5248618784530384E-3</v>
      </c>
    </row>
    <row r="251" spans="2:6" x14ac:dyDescent="0.35">
      <c r="B251" s="4" t="s">
        <v>219</v>
      </c>
      <c r="C251" s="3">
        <v>1</v>
      </c>
      <c r="D251" s="2">
        <v>0</v>
      </c>
      <c r="E251" s="2">
        <f t="shared" si="5"/>
        <v>1</v>
      </c>
      <c r="F251" s="9">
        <v>5.5248618784530384E-3</v>
      </c>
    </row>
    <row r="252" spans="2:6" x14ac:dyDescent="0.35">
      <c r="B252" s="4" t="s">
        <v>324</v>
      </c>
      <c r="C252" s="3">
        <v>1</v>
      </c>
      <c r="D252" s="2">
        <v>0</v>
      </c>
      <c r="E252" s="2">
        <f t="shared" si="5"/>
        <v>1</v>
      </c>
      <c r="F252" s="9">
        <v>5.5248618784530384E-3</v>
      </c>
    </row>
    <row r="253" spans="2:6" x14ac:dyDescent="0.35">
      <c r="B253" s="4" t="s">
        <v>180</v>
      </c>
      <c r="C253" s="3">
        <v>1</v>
      </c>
      <c r="D253" s="2">
        <v>0</v>
      </c>
      <c r="E253" s="2">
        <f t="shared" si="5"/>
        <v>1</v>
      </c>
      <c r="F253" s="9">
        <v>5.5248618784530384E-3</v>
      </c>
    </row>
    <row r="254" spans="2:6" x14ac:dyDescent="0.35">
      <c r="B254" s="4" t="s">
        <v>227</v>
      </c>
      <c r="C254" s="3">
        <v>1</v>
      </c>
      <c r="D254" s="2">
        <v>1</v>
      </c>
      <c r="E254" s="2">
        <f t="shared" si="5"/>
        <v>2</v>
      </c>
      <c r="F254" s="9">
        <v>1.1049723756906077E-2</v>
      </c>
    </row>
    <row r="255" spans="2:6" x14ac:dyDescent="0.35">
      <c r="B255" s="4" t="s">
        <v>200</v>
      </c>
      <c r="C255" s="3">
        <v>1</v>
      </c>
      <c r="D255" s="2">
        <v>0</v>
      </c>
      <c r="E255" s="2">
        <f t="shared" si="5"/>
        <v>1</v>
      </c>
      <c r="F255" s="9">
        <v>5.5248618784530384E-3</v>
      </c>
    </row>
    <row r="256" spans="2:6" x14ac:dyDescent="0.35">
      <c r="B256" s="4" t="s">
        <v>282</v>
      </c>
      <c r="C256" s="3">
        <v>1</v>
      </c>
      <c r="D256" s="2">
        <v>0</v>
      </c>
      <c r="E256" s="2">
        <f t="shared" si="5"/>
        <v>1</v>
      </c>
      <c r="F256" s="9">
        <v>5.5248618784530384E-3</v>
      </c>
    </row>
    <row r="257" spans="2:6" x14ac:dyDescent="0.35">
      <c r="B257" s="4" t="s">
        <v>310</v>
      </c>
      <c r="C257" s="3">
        <v>1</v>
      </c>
      <c r="D257" s="2">
        <v>0</v>
      </c>
      <c r="E257" s="2">
        <f t="shared" si="5"/>
        <v>1</v>
      </c>
      <c r="F257" s="9">
        <v>5.5248618784530384E-3</v>
      </c>
    </row>
    <row r="258" spans="2:6" x14ac:dyDescent="0.35">
      <c r="B258" s="4" t="s">
        <v>228</v>
      </c>
      <c r="C258" s="3">
        <v>2</v>
      </c>
      <c r="D258" s="2">
        <v>0</v>
      </c>
      <c r="E258" s="2">
        <f t="shared" si="5"/>
        <v>2</v>
      </c>
      <c r="F258" s="9">
        <v>1.1049723756906077E-2</v>
      </c>
    </row>
    <row r="259" spans="2:6" x14ac:dyDescent="0.35">
      <c r="B259" s="4" t="s">
        <v>189</v>
      </c>
      <c r="C259" s="3">
        <v>1</v>
      </c>
      <c r="D259" s="2">
        <v>2</v>
      </c>
      <c r="E259" s="2">
        <f t="shared" si="5"/>
        <v>3</v>
      </c>
      <c r="F259" s="9">
        <v>1.6574585635359115E-2</v>
      </c>
    </row>
    <row r="260" spans="2:6" x14ac:dyDescent="0.35">
      <c r="B260" s="4" t="s">
        <v>190</v>
      </c>
      <c r="C260" s="3">
        <v>1</v>
      </c>
      <c r="D260" s="2">
        <v>0</v>
      </c>
      <c r="E260" s="2">
        <f t="shared" ref="E260:E323" si="6">C260+D260</f>
        <v>1</v>
      </c>
      <c r="F260" s="9">
        <v>5.5248618784530384E-3</v>
      </c>
    </row>
    <row r="261" spans="2:6" x14ac:dyDescent="0.35">
      <c r="B261" s="4" t="s">
        <v>104</v>
      </c>
      <c r="C261" s="3">
        <v>1</v>
      </c>
      <c r="D261" s="2">
        <v>0</v>
      </c>
      <c r="E261" s="2">
        <f t="shared" si="6"/>
        <v>1</v>
      </c>
      <c r="F261" s="9">
        <v>5.5248618784530384E-3</v>
      </c>
    </row>
    <row r="262" spans="2:6" x14ac:dyDescent="0.35">
      <c r="B262" s="4" t="s">
        <v>307</v>
      </c>
      <c r="C262" s="3">
        <v>1</v>
      </c>
      <c r="D262" s="2">
        <v>0</v>
      </c>
      <c r="E262" s="2">
        <f t="shared" si="6"/>
        <v>1</v>
      </c>
      <c r="F262" s="9">
        <v>5.5248618784530384E-3</v>
      </c>
    </row>
    <row r="263" spans="2:6" x14ac:dyDescent="0.35">
      <c r="B263" s="4" t="s">
        <v>312</v>
      </c>
      <c r="C263" s="3">
        <v>1</v>
      </c>
      <c r="D263" s="2">
        <v>0</v>
      </c>
      <c r="E263" s="2">
        <f t="shared" si="6"/>
        <v>1</v>
      </c>
      <c r="F263" s="9">
        <v>5.5248618784530384E-3</v>
      </c>
    </row>
    <row r="264" spans="2:6" x14ac:dyDescent="0.35">
      <c r="B264" s="4" t="s">
        <v>199</v>
      </c>
      <c r="C264" s="3">
        <v>2</v>
      </c>
      <c r="D264" s="2">
        <v>1</v>
      </c>
      <c r="E264" s="2">
        <f t="shared" si="6"/>
        <v>3</v>
      </c>
      <c r="F264" s="9">
        <v>1.6574585635359115E-2</v>
      </c>
    </row>
    <row r="265" spans="2:6" x14ac:dyDescent="0.35">
      <c r="B265" s="4" t="s">
        <v>124</v>
      </c>
      <c r="C265" s="3">
        <v>1</v>
      </c>
      <c r="D265" s="2">
        <v>0</v>
      </c>
      <c r="E265" s="2">
        <f t="shared" si="6"/>
        <v>1</v>
      </c>
      <c r="F265" s="9">
        <v>5.5248618784530384E-3</v>
      </c>
    </row>
    <row r="266" spans="2:6" x14ac:dyDescent="0.35">
      <c r="B266" s="4" t="s">
        <v>70</v>
      </c>
      <c r="C266" s="3">
        <v>1</v>
      </c>
      <c r="D266" s="2">
        <v>0</v>
      </c>
      <c r="E266" s="2">
        <f t="shared" si="6"/>
        <v>1</v>
      </c>
      <c r="F266" s="9">
        <v>5.5248618784530384E-3</v>
      </c>
    </row>
    <row r="267" spans="2:6" x14ac:dyDescent="0.35">
      <c r="B267" s="4" t="s">
        <v>242</v>
      </c>
      <c r="C267" s="3">
        <v>2</v>
      </c>
      <c r="D267" s="2">
        <v>0</v>
      </c>
      <c r="E267" s="2">
        <f t="shared" si="6"/>
        <v>2</v>
      </c>
      <c r="F267" s="9">
        <v>1.1049723756906077E-2</v>
      </c>
    </row>
    <row r="268" spans="2:6" x14ac:dyDescent="0.35">
      <c r="B268" s="4" t="s">
        <v>141</v>
      </c>
      <c r="C268" s="3">
        <v>1</v>
      </c>
      <c r="D268" s="2">
        <v>3</v>
      </c>
      <c r="E268" s="2">
        <f t="shared" si="6"/>
        <v>4</v>
      </c>
      <c r="F268" s="9">
        <v>2.2099447513812154E-2</v>
      </c>
    </row>
    <row r="269" spans="2:6" x14ac:dyDescent="0.35">
      <c r="B269" s="4" t="s">
        <v>16</v>
      </c>
      <c r="C269" s="3">
        <v>1</v>
      </c>
      <c r="D269" s="2">
        <v>0</v>
      </c>
      <c r="E269" s="2">
        <f t="shared" si="6"/>
        <v>1</v>
      </c>
      <c r="F269" s="9">
        <v>5.5248618784530384E-3</v>
      </c>
    </row>
    <row r="270" spans="2:6" x14ac:dyDescent="0.35">
      <c r="B270" s="4" t="s">
        <v>409</v>
      </c>
      <c r="C270" s="3">
        <v>1</v>
      </c>
      <c r="D270" s="2">
        <v>0</v>
      </c>
      <c r="E270" s="2">
        <f t="shared" si="6"/>
        <v>1</v>
      </c>
      <c r="F270" s="9">
        <v>5.5248618784530384E-3</v>
      </c>
    </row>
    <row r="271" spans="2:6" x14ac:dyDescent="0.35">
      <c r="B271" s="4" t="s">
        <v>230</v>
      </c>
      <c r="C271" s="3">
        <v>3</v>
      </c>
      <c r="D271" s="2">
        <v>0</v>
      </c>
      <c r="E271" s="2">
        <f t="shared" si="6"/>
        <v>3</v>
      </c>
      <c r="F271" s="9">
        <v>1.6574585635359115E-2</v>
      </c>
    </row>
    <row r="272" spans="2:6" x14ac:dyDescent="0.35">
      <c r="B272" s="4" t="s">
        <v>389</v>
      </c>
      <c r="C272" s="3">
        <v>1</v>
      </c>
      <c r="D272" s="2">
        <v>0</v>
      </c>
      <c r="E272" s="2">
        <f t="shared" si="6"/>
        <v>1</v>
      </c>
      <c r="F272" s="9">
        <v>5.5248618784530384E-3</v>
      </c>
    </row>
    <row r="273" spans="1:6" x14ac:dyDescent="0.35">
      <c r="B273" s="4" t="s">
        <v>90</v>
      </c>
      <c r="C273" s="3">
        <v>3</v>
      </c>
      <c r="D273" s="2">
        <v>0</v>
      </c>
      <c r="E273" s="2">
        <f t="shared" si="6"/>
        <v>3</v>
      </c>
      <c r="F273" s="9">
        <v>1.6574585635359115E-2</v>
      </c>
    </row>
    <row r="274" spans="1:6" x14ac:dyDescent="0.35">
      <c r="B274" s="4" t="s">
        <v>210</v>
      </c>
      <c r="C274" s="3">
        <v>1</v>
      </c>
      <c r="D274" s="2">
        <v>0</v>
      </c>
      <c r="E274" s="2">
        <f t="shared" si="6"/>
        <v>1</v>
      </c>
      <c r="F274" s="9">
        <v>5.5248618784530384E-3</v>
      </c>
    </row>
    <row r="275" spans="1:6" x14ac:dyDescent="0.35">
      <c r="B275" s="4" t="s">
        <v>59</v>
      </c>
      <c r="C275" s="3">
        <v>1</v>
      </c>
      <c r="D275" s="2">
        <v>1</v>
      </c>
      <c r="E275" s="2">
        <f t="shared" si="6"/>
        <v>2</v>
      </c>
      <c r="F275" s="9">
        <v>1.1049723756906077E-2</v>
      </c>
    </row>
    <row r="276" spans="1:6" x14ac:dyDescent="0.35">
      <c r="B276" s="4" t="s">
        <v>249</v>
      </c>
      <c r="C276" s="3">
        <v>2</v>
      </c>
      <c r="D276" s="2">
        <v>0</v>
      </c>
      <c r="E276" s="2">
        <f t="shared" si="6"/>
        <v>2</v>
      </c>
      <c r="F276" s="9">
        <v>1.1049723756906077E-2</v>
      </c>
    </row>
    <row r="277" spans="1:6" x14ac:dyDescent="0.35">
      <c r="A277" s="17" t="s">
        <v>464</v>
      </c>
      <c r="B277" s="12" t="s">
        <v>462</v>
      </c>
      <c r="C277" s="13">
        <f>SUM(C278:C417)</f>
        <v>191</v>
      </c>
      <c r="D277" s="13">
        <f t="shared" ref="D277:E277" si="7">SUM(D278:D417)</f>
        <v>21</v>
      </c>
      <c r="E277" s="13">
        <f t="shared" si="7"/>
        <v>212</v>
      </c>
      <c r="F277" s="12"/>
    </row>
    <row r="278" spans="1:6" x14ac:dyDescent="0.35">
      <c r="B278" s="4" t="s">
        <v>41</v>
      </c>
      <c r="C278" s="3">
        <v>1</v>
      </c>
      <c r="D278" s="2">
        <v>0</v>
      </c>
      <c r="E278" s="2">
        <f t="shared" si="6"/>
        <v>1</v>
      </c>
      <c r="F278" s="9">
        <v>4.7169811320754715E-3</v>
      </c>
    </row>
    <row r="279" spans="1:6" x14ac:dyDescent="0.35">
      <c r="B279" s="4" t="s">
        <v>257</v>
      </c>
      <c r="C279" s="3">
        <v>1</v>
      </c>
      <c r="D279" s="2">
        <v>0</v>
      </c>
      <c r="E279" s="2">
        <f t="shared" si="6"/>
        <v>1</v>
      </c>
      <c r="F279" s="9">
        <v>4.7169811320754715E-3</v>
      </c>
    </row>
    <row r="280" spans="1:6" x14ac:dyDescent="0.35">
      <c r="B280" s="4" t="s">
        <v>127</v>
      </c>
      <c r="C280" s="3">
        <v>1</v>
      </c>
      <c r="D280" s="2">
        <v>0</v>
      </c>
      <c r="E280" s="2">
        <f t="shared" si="6"/>
        <v>1</v>
      </c>
      <c r="F280" s="9">
        <v>4.7169811320754715E-3</v>
      </c>
    </row>
    <row r="281" spans="1:6" x14ac:dyDescent="0.35">
      <c r="B281" s="4" t="s">
        <v>395</v>
      </c>
      <c r="C281" s="3">
        <v>2</v>
      </c>
      <c r="D281" s="2">
        <v>0</v>
      </c>
      <c r="E281" s="2">
        <f t="shared" si="6"/>
        <v>2</v>
      </c>
      <c r="F281" s="9">
        <v>9.433962264150943E-3</v>
      </c>
    </row>
    <row r="282" spans="1:6" x14ac:dyDescent="0.35">
      <c r="B282" s="4" t="s">
        <v>218</v>
      </c>
      <c r="C282" s="3">
        <v>1</v>
      </c>
      <c r="D282" s="2">
        <v>0</v>
      </c>
      <c r="E282" s="2">
        <f t="shared" si="6"/>
        <v>1</v>
      </c>
      <c r="F282" s="9">
        <v>4.7169811320754715E-3</v>
      </c>
    </row>
    <row r="283" spans="1:6" x14ac:dyDescent="0.35">
      <c r="B283" s="4" t="s">
        <v>196</v>
      </c>
      <c r="C283" s="3">
        <v>4</v>
      </c>
      <c r="D283" s="2">
        <v>0</v>
      </c>
      <c r="E283" s="2">
        <f t="shared" si="6"/>
        <v>4</v>
      </c>
      <c r="F283" s="9">
        <v>1.8867924528301886E-2</v>
      </c>
    </row>
    <row r="284" spans="1:6" x14ac:dyDescent="0.35">
      <c r="B284" s="4" t="s">
        <v>288</v>
      </c>
      <c r="C284" s="3">
        <v>2</v>
      </c>
      <c r="D284" s="2">
        <v>0</v>
      </c>
      <c r="E284" s="2">
        <f t="shared" si="6"/>
        <v>2</v>
      </c>
      <c r="F284" s="9">
        <v>9.433962264150943E-3</v>
      </c>
    </row>
    <row r="285" spans="1:6" x14ac:dyDescent="0.35">
      <c r="B285" s="4" t="s">
        <v>115</v>
      </c>
      <c r="C285" s="3">
        <v>1</v>
      </c>
      <c r="D285" s="2">
        <v>0</v>
      </c>
      <c r="E285" s="2">
        <f t="shared" si="6"/>
        <v>1</v>
      </c>
      <c r="F285" s="9">
        <v>4.7169811320754715E-3</v>
      </c>
    </row>
    <row r="286" spans="1:6" x14ac:dyDescent="0.35">
      <c r="B286" s="4" t="s">
        <v>46</v>
      </c>
      <c r="C286" s="3">
        <v>1</v>
      </c>
      <c r="D286" s="2">
        <v>2</v>
      </c>
      <c r="E286" s="2">
        <f t="shared" si="6"/>
        <v>3</v>
      </c>
      <c r="F286" s="9">
        <v>1.4150943396226415E-2</v>
      </c>
    </row>
    <row r="287" spans="1:6" x14ac:dyDescent="0.35">
      <c r="B287" s="4" t="s">
        <v>162</v>
      </c>
      <c r="C287" s="3">
        <v>1</v>
      </c>
      <c r="D287" s="2">
        <v>0</v>
      </c>
      <c r="E287" s="2">
        <f t="shared" si="6"/>
        <v>1</v>
      </c>
      <c r="F287" s="9">
        <v>4.7169811320754715E-3</v>
      </c>
    </row>
    <row r="288" spans="1:6" x14ac:dyDescent="0.35">
      <c r="B288" s="4" t="s">
        <v>400</v>
      </c>
      <c r="C288" s="3">
        <v>1</v>
      </c>
      <c r="D288" s="2">
        <v>0</v>
      </c>
      <c r="E288" s="2">
        <f t="shared" si="6"/>
        <v>1</v>
      </c>
      <c r="F288" s="9">
        <v>4.7169811320754715E-3</v>
      </c>
    </row>
    <row r="289" spans="2:6" x14ac:dyDescent="0.35">
      <c r="B289" s="4" t="s">
        <v>214</v>
      </c>
      <c r="C289" s="3">
        <v>1</v>
      </c>
      <c r="D289" s="2">
        <v>0</v>
      </c>
      <c r="E289" s="2">
        <f t="shared" si="6"/>
        <v>1</v>
      </c>
      <c r="F289" s="9">
        <v>4.7169811320754715E-3</v>
      </c>
    </row>
    <row r="290" spans="2:6" x14ac:dyDescent="0.35">
      <c r="B290" s="4" t="s">
        <v>295</v>
      </c>
      <c r="C290" s="3">
        <v>1</v>
      </c>
      <c r="D290" s="2">
        <v>0</v>
      </c>
      <c r="E290" s="2">
        <f t="shared" si="6"/>
        <v>1</v>
      </c>
      <c r="F290" s="9">
        <v>4.7169811320754715E-3</v>
      </c>
    </row>
    <row r="291" spans="2:6" x14ac:dyDescent="0.35">
      <c r="B291" s="4" t="s">
        <v>299</v>
      </c>
      <c r="C291" s="3">
        <v>1</v>
      </c>
      <c r="D291" s="2">
        <v>0</v>
      </c>
      <c r="E291" s="2">
        <f t="shared" si="6"/>
        <v>1</v>
      </c>
      <c r="F291" s="9">
        <v>4.7169811320754715E-3</v>
      </c>
    </row>
    <row r="292" spans="2:6" x14ac:dyDescent="0.35">
      <c r="B292" s="4" t="s">
        <v>378</v>
      </c>
      <c r="C292" s="3">
        <v>3</v>
      </c>
      <c r="D292" s="2">
        <v>0</v>
      </c>
      <c r="E292" s="2">
        <f t="shared" si="6"/>
        <v>3</v>
      </c>
      <c r="F292" s="9">
        <v>1.4150943396226415E-2</v>
      </c>
    </row>
    <row r="293" spans="2:6" x14ac:dyDescent="0.35">
      <c r="B293" s="4" t="s">
        <v>250</v>
      </c>
      <c r="C293" s="3">
        <v>2</v>
      </c>
      <c r="D293" s="2">
        <v>0</v>
      </c>
      <c r="E293" s="2">
        <f t="shared" si="6"/>
        <v>2</v>
      </c>
      <c r="F293" s="9">
        <v>9.433962264150943E-3</v>
      </c>
    </row>
    <row r="294" spans="2:6" x14ac:dyDescent="0.35">
      <c r="B294" s="4" t="s">
        <v>338</v>
      </c>
      <c r="C294" s="3">
        <v>1</v>
      </c>
      <c r="D294" s="2">
        <v>0</v>
      </c>
      <c r="E294" s="2">
        <f t="shared" si="6"/>
        <v>1</v>
      </c>
      <c r="F294" s="9">
        <v>4.7169811320754715E-3</v>
      </c>
    </row>
    <row r="295" spans="2:6" x14ac:dyDescent="0.35">
      <c r="B295" s="4" t="s">
        <v>129</v>
      </c>
      <c r="C295" s="3">
        <v>2</v>
      </c>
      <c r="D295" s="2">
        <v>0</v>
      </c>
      <c r="E295" s="2">
        <f t="shared" si="6"/>
        <v>2</v>
      </c>
      <c r="F295" s="9">
        <v>9.433962264150943E-3</v>
      </c>
    </row>
    <row r="296" spans="2:6" x14ac:dyDescent="0.35">
      <c r="B296" s="4" t="s">
        <v>267</v>
      </c>
      <c r="C296" s="3">
        <v>2</v>
      </c>
      <c r="D296" s="2">
        <v>0</v>
      </c>
      <c r="E296" s="2">
        <f t="shared" si="6"/>
        <v>2</v>
      </c>
      <c r="F296" s="9">
        <v>9.433962264150943E-3</v>
      </c>
    </row>
    <row r="297" spans="2:6" x14ac:dyDescent="0.35">
      <c r="B297" s="4" t="s">
        <v>349</v>
      </c>
      <c r="C297" s="3">
        <v>1</v>
      </c>
      <c r="D297" s="2">
        <v>0</v>
      </c>
      <c r="E297" s="2">
        <f t="shared" si="6"/>
        <v>1</v>
      </c>
      <c r="F297" s="9">
        <v>4.7169811320754715E-3</v>
      </c>
    </row>
    <row r="298" spans="2:6" x14ac:dyDescent="0.35">
      <c r="B298" s="4" t="s">
        <v>375</v>
      </c>
      <c r="C298" s="3">
        <v>1</v>
      </c>
      <c r="D298" s="2">
        <v>0</v>
      </c>
      <c r="E298" s="2">
        <f t="shared" si="6"/>
        <v>1</v>
      </c>
      <c r="F298" s="9">
        <v>4.7169811320754715E-3</v>
      </c>
    </row>
    <row r="299" spans="2:6" x14ac:dyDescent="0.35">
      <c r="B299" s="4" t="s">
        <v>333</v>
      </c>
      <c r="C299" s="3">
        <v>1</v>
      </c>
      <c r="D299" s="2">
        <v>0</v>
      </c>
      <c r="E299" s="2">
        <f t="shared" si="6"/>
        <v>1</v>
      </c>
      <c r="F299" s="9">
        <v>4.7169811320754715E-3</v>
      </c>
    </row>
    <row r="300" spans="2:6" x14ac:dyDescent="0.35">
      <c r="B300" s="4" t="s">
        <v>7</v>
      </c>
      <c r="C300" s="3">
        <v>1</v>
      </c>
      <c r="D300" s="2">
        <v>0</v>
      </c>
      <c r="E300" s="2">
        <f t="shared" si="6"/>
        <v>1</v>
      </c>
      <c r="F300" s="9">
        <v>4.7169811320754715E-3</v>
      </c>
    </row>
    <row r="301" spans="2:6" x14ac:dyDescent="0.35">
      <c r="B301" s="4" t="s">
        <v>246</v>
      </c>
      <c r="C301" s="3">
        <v>1</v>
      </c>
      <c r="D301" s="2">
        <v>2</v>
      </c>
      <c r="E301" s="2">
        <f t="shared" si="6"/>
        <v>3</v>
      </c>
      <c r="F301" s="9">
        <v>1.4150943396226415E-2</v>
      </c>
    </row>
    <row r="302" spans="2:6" x14ac:dyDescent="0.35">
      <c r="B302" s="4" t="s">
        <v>131</v>
      </c>
      <c r="C302" s="3">
        <v>1</v>
      </c>
      <c r="D302" s="2">
        <v>0</v>
      </c>
      <c r="E302" s="2">
        <f t="shared" si="6"/>
        <v>1</v>
      </c>
      <c r="F302" s="9">
        <v>4.7169811320754715E-3</v>
      </c>
    </row>
    <row r="303" spans="2:6" x14ac:dyDescent="0.35">
      <c r="B303" s="4" t="s">
        <v>388</v>
      </c>
      <c r="C303" s="3">
        <v>1</v>
      </c>
      <c r="D303" s="2">
        <v>0</v>
      </c>
      <c r="E303" s="2">
        <f t="shared" si="6"/>
        <v>1</v>
      </c>
      <c r="F303" s="9">
        <v>4.7169811320754715E-3</v>
      </c>
    </row>
    <row r="304" spans="2:6" x14ac:dyDescent="0.35">
      <c r="B304" s="4" t="s">
        <v>244</v>
      </c>
      <c r="C304" s="3">
        <v>2</v>
      </c>
      <c r="D304" s="2">
        <v>0</v>
      </c>
      <c r="E304" s="2">
        <f t="shared" si="6"/>
        <v>2</v>
      </c>
      <c r="F304" s="9">
        <v>9.433962264150943E-3</v>
      </c>
    </row>
    <row r="305" spans="2:6" x14ac:dyDescent="0.35">
      <c r="B305" s="4" t="s">
        <v>263</v>
      </c>
      <c r="C305" s="3">
        <v>1</v>
      </c>
      <c r="D305" s="2">
        <v>0</v>
      </c>
      <c r="E305" s="2">
        <f t="shared" si="6"/>
        <v>1</v>
      </c>
      <c r="F305" s="9">
        <v>4.7169811320754715E-3</v>
      </c>
    </row>
    <row r="306" spans="2:6" x14ac:dyDescent="0.35">
      <c r="B306" s="4" t="s">
        <v>337</v>
      </c>
      <c r="C306" s="3">
        <v>1</v>
      </c>
      <c r="D306" s="2">
        <v>0</v>
      </c>
      <c r="E306" s="2">
        <f t="shared" si="6"/>
        <v>1</v>
      </c>
      <c r="F306" s="9">
        <v>4.7169811320754715E-3</v>
      </c>
    </row>
    <row r="307" spans="2:6" x14ac:dyDescent="0.35">
      <c r="B307" s="4" t="s">
        <v>32</v>
      </c>
      <c r="C307" s="3">
        <v>1</v>
      </c>
      <c r="D307" s="2">
        <v>0</v>
      </c>
      <c r="E307" s="2">
        <f t="shared" si="6"/>
        <v>1</v>
      </c>
      <c r="F307" s="9">
        <v>4.7169811320754715E-3</v>
      </c>
    </row>
    <row r="308" spans="2:6" x14ac:dyDescent="0.35">
      <c r="B308" s="4" t="s">
        <v>393</v>
      </c>
      <c r="C308" s="3">
        <v>1</v>
      </c>
      <c r="D308" s="2">
        <v>0</v>
      </c>
      <c r="E308" s="2">
        <f t="shared" si="6"/>
        <v>1</v>
      </c>
      <c r="F308" s="9">
        <v>4.7169811320754715E-3</v>
      </c>
    </row>
    <row r="309" spans="2:6" x14ac:dyDescent="0.35">
      <c r="B309" s="4" t="s">
        <v>256</v>
      </c>
      <c r="C309" s="3">
        <v>3</v>
      </c>
      <c r="D309" s="2">
        <v>0</v>
      </c>
      <c r="E309" s="2">
        <f t="shared" si="6"/>
        <v>3</v>
      </c>
      <c r="F309" s="9">
        <v>1.4150943396226415E-2</v>
      </c>
    </row>
    <row r="310" spans="2:6" x14ac:dyDescent="0.35">
      <c r="B310" s="4" t="s">
        <v>321</v>
      </c>
      <c r="C310" s="3">
        <v>2</v>
      </c>
      <c r="D310" s="2">
        <v>0</v>
      </c>
      <c r="E310" s="2">
        <f t="shared" si="6"/>
        <v>2</v>
      </c>
      <c r="F310" s="9">
        <v>9.433962264150943E-3</v>
      </c>
    </row>
    <row r="311" spans="2:6" x14ac:dyDescent="0.35">
      <c r="B311" s="4" t="s">
        <v>384</v>
      </c>
      <c r="C311" s="3">
        <v>2</v>
      </c>
      <c r="D311" s="2">
        <v>0</v>
      </c>
      <c r="E311" s="2">
        <f t="shared" si="6"/>
        <v>2</v>
      </c>
      <c r="F311" s="9">
        <v>9.433962264150943E-3</v>
      </c>
    </row>
    <row r="312" spans="2:6" x14ac:dyDescent="0.35">
      <c r="B312" s="4" t="s">
        <v>123</v>
      </c>
      <c r="C312" s="3">
        <v>1</v>
      </c>
      <c r="D312" s="2">
        <v>0</v>
      </c>
      <c r="E312" s="2">
        <f t="shared" si="6"/>
        <v>1</v>
      </c>
      <c r="F312" s="9">
        <v>4.7169811320754715E-3</v>
      </c>
    </row>
    <row r="313" spans="2:6" x14ac:dyDescent="0.35">
      <c r="B313" s="4" t="s">
        <v>311</v>
      </c>
      <c r="C313" s="3">
        <v>1</v>
      </c>
      <c r="D313" s="2">
        <v>0</v>
      </c>
      <c r="E313" s="2">
        <f t="shared" si="6"/>
        <v>1</v>
      </c>
      <c r="F313" s="9">
        <v>4.7169811320754715E-3</v>
      </c>
    </row>
    <row r="314" spans="2:6" x14ac:dyDescent="0.35">
      <c r="B314" s="4" t="s">
        <v>235</v>
      </c>
      <c r="C314" s="3">
        <v>2</v>
      </c>
      <c r="D314" s="2">
        <v>0</v>
      </c>
      <c r="E314" s="2">
        <f t="shared" si="6"/>
        <v>2</v>
      </c>
      <c r="F314" s="9">
        <v>9.433962264150943E-3</v>
      </c>
    </row>
    <row r="315" spans="2:6" x14ac:dyDescent="0.35">
      <c r="B315" s="4" t="s">
        <v>313</v>
      </c>
      <c r="C315" s="3">
        <v>1</v>
      </c>
      <c r="D315" s="2">
        <v>0</v>
      </c>
      <c r="E315" s="2">
        <f t="shared" si="6"/>
        <v>1</v>
      </c>
      <c r="F315" s="9">
        <v>4.7169811320754715E-3</v>
      </c>
    </row>
    <row r="316" spans="2:6" x14ac:dyDescent="0.35">
      <c r="B316" s="4" t="s">
        <v>159</v>
      </c>
      <c r="C316" s="3">
        <v>2</v>
      </c>
      <c r="D316" s="2">
        <v>0</v>
      </c>
      <c r="E316" s="2">
        <f t="shared" si="6"/>
        <v>2</v>
      </c>
      <c r="F316" s="9">
        <v>9.433962264150943E-3</v>
      </c>
    </row>
    <row r="317" spans="2:6" x14ac:dyDescent="0.35">
      <c r="B317" s="4" t="s">
        <v>268</v>
      </c>
      <c r="C317" s="3">
        <v>1</v>
      </c>
      <c r="D317" s="2">
        <v>0</v>
      </c>
      <c r="E317" s="2">
        <f t="shared" si="6"/>
        <v>1</v>
      </c>
      <c r="F317" s="9">
        <v>4.7169811320754715E-3</v>
      </c>
    </row>
    <row r="318" spans="2:6" x14ac:dyDescent="0.35">
      <c r="B318" s="4" t="s">
        <v>253</v>
      </c>
      <c r="C318" s="3">
        <v>1</v>
      </c>
      <c r="D318" s="2">
        <v>0</v>
      </c>
      <c r="E318" s="2">
        <f t="shared" si="6"/>
        <v>1</v>
      </c>
      <c r="F318" s="9">
        <v>4.7169811320754715E-3</v>
      </c>
    </row>
    <row r="319" spans="2:6" x14ac:dyDescent="0.35">
      <c r="B319" s="4" t="s">
        <v>412</v>
      </c>
      <c r="C319" s="3">
        <v>1</v>
      </c>
      <c r="D319" s="2">
        <v>0</v>
      </c>
      <c r="E319" s="2">
        <f t="shared" si="6"/>
        <v>1</v>
      </c>
      <c r="F319" s="9">
        <v>4.7169811320754715E-3</v>
      </c>
    </row>
    <row r="320" spans="2:6" x14ac:dyDescent="0.35">
      <c r="B320" s="4" t="s">
        <v>77</v>
      </c>
      <c r="C320" s="3">
        <v>2</v>
      </c>
      <c r="D320" s="2">
        <v>0</v>
      </c>
      <c r="E320" s="2">
        <f t="shared" si="6"/>
        <v>2</v>
      </c>
      <c r="F320" s="9">
        <v>9.433962264150943E-3</v>
      </c>
    </row>
    <row r="321" spans="2:6" x14ac:dyDescent="0.35">
      <c r="B321" s="4" t="s">
        <v>183</v>
      </c>
      <c r="C321" s="3">
        <v>1</v>
      </c>
      <c r="D321" s="2">
        <v>0</v>
      </c>
      <c r="E321" s="2">
        <f t="shared" si="6"/>
        <v>1</v>
      </c>
      <c r="F321" s="9">
        <v>4.7169811320754715E-3</v>
      </c>
    </row>
    <row r="322" spans="2:6" x14ac:dyDescent="0.35">
      <c r="B322" s="4" t="s">
        <v>266</v>
      </c>
      <c r="C322" s="3">
        <v>3</v>
      </c>
      <c r="D322" s="2">
        <v>0</v>
      </c>
      <c r="E322" s="2">
        <f t="shared" si="6"/>
        <v>3</v>
      </c>
      <c r="F322" s="9">
        <v>1.4150943396226415E-2</v>
      </c>
    </row>
    <row r="323" spans="2:6" x14ac:dyDescent="0.35">
      <c r="B323" s="4" t="s">
        <v>181</v>
      </c>
      <c r="C323" s="3">
        <v>1</v>
      </c>
      <c r="D323" s="2">
        <v>0</v>
      </c>
      <c r="E323" s="2">
        <f t="shared" si="6"/>
        <v>1</v>
      </c>
      <c r="F323" s="9">
        <v>4.7169811320754715E-3</v>
      </c>
    </row>
    <row r="324" spans="2:6" x14ac:dyDescent="0.35">
      <c r="B324" s="4" t="s">
        <v>251</v>
      </c>
      <c r="C324" s="3">
        <v>1</v>
      </c>
      <c r="D324" s="2">
        <v>0</v>
      </c>
      <c r="E324" s="2">
        <f t="shared" ref="E324:E387" si="8">C324+D324</f>
        <v>1</v>
      </c>
      <c r="F324" s="9">
        <v>4.7169811320754715E-3</v>
      </c>
    </row>
    <row r="325" spans="2:6" x14ac:dyDescent="0.35">
      <c r="B325" s="4" t="s">
        <v>135</v>
      </c>
      <c r="C325" s="3">
        <v>2</v>
      </c>
      <c r="D325" s="2">
        <v>0</v>
      </c>
      <c r="E325" s="2">
        <f t="shared" si="8"/>
        <v>2</v>
      </c>
      <c r="F325" s="9">
        <v>9.433962264150943E-3</v>
      </c>
    </row>
    <row r="326" spans="2:6" x14ac:dyDescent="0.35">
      <c r="B326" s="4" t="s">
        <v>197</v>
      </c>
      <c r="C326" s="3">
        <v>3</v>
      </c>
      <c r="D326" s="2">
        <v>1</v>
      </c>
      <c r="E326" s="2">
        <f t="shared" si="8"/>
        <v>4</v>
      </c>
      <c r="F326" s="9">
        <v>1.8867924528301886E-2</v>
      </c>
    </row>
    <row r="327" spans="2:6" x14ac:dyDescent="0.35">
      <c r="B327" s="4" t="s">
        <v>285</v>
      </c>
      <c r="C327" s="3">
        <v>3</v>
      </c>
      <c r="D327" s="2">
        <v>0</v>
      </c>
      <c r="E327" s="2">
        <f t="shared" si="8"/>
        <v>3</v>
      </c>
      <c r="F327" s="9">
        <v>1.4150943396226415E-2</v>
      </c>
    </row>
    <row r="328" spans="2:6" x14ac:dyDescent="0.35">
      <c r="B328" s="4" t="s">
        <v>325</v>
      </c>
      <c r="C328" s="3">
        <v>1</v>
      </c>
      <c r="D328" s="2">
        <v>0</v>
      </c>
      <c r="E328" s="2">
        <f t="shared" si="8"/>
        <v>1</v>
      </c>
      <c r="F328" s="9">
        <v>4.7169811320754715E-3</v>
      </c>
    </row>
    <row r="329" spans="2:6" x14ac:dyDescent="0.35">
      <c r="B329" s="4" t="s">
        <v>174</v>
      </c>
      <c r="C329" s="3">
        <v>1</v>
      </c>
      <c r="D329" s="2">
        <v>0</v>
      </c>
      <c r="E329" s="2">
        <f t="shared" si="8"/>
        <v>1</v>
      </c>
      <c r="F329" s="9">
        <v>4.7169811320754715E-3</v>
      </c>
    </row>
    <row r="330" spans="2:6" x14ac:dyDescent="0.35">
      <c r="B330" s="4" t="s">
        <v>108</v>
      </c>
      <c r="C330" s="3">
        <v>1</v>
      </c>
      <c r="D330" s="2">
        <v>0</v>
      </c>
      <c r="E330" s="2">
        <f t="shared" si="8"/>
        <v>1</v>
      </c>
      <c r="F330" s="9">
        <v>4.7169811320754715E-3</v>
      </c>
    </row>
    <row r="331" spans="2:6" x14ac:dyDescent="0.35">
      <c r="B331" s="4" t="s">
        <v>364</v>
      </c>
      <c r="C331" s="3">
        <v>1</v>
      </c>
      <c r="D331" s="2">
        <v>0</v>
      </c>
      <c r="E331" s="2">
        <f t="shared" si="8"/>
        <v>1</v>
      </c>
      <c r="F331" s="9">
        <v>4.7169811320754715E-3</v>
      </c>
    </row>
    <row r="332" spans="2:6" x14ac:dyDescent="0.35">
      <c r="B332" s="4" t="s">
        <v>327</v>
      </c>
      <c r="C332" s="3">
        <v>1</v>
      </c>
      <c r="D332" s="2">
        <v>0</v>
      </c>
      <c r="E332" s="2">
        <f t="shared" si="8"/>
        <v>1</v>
      </c>
      <c r="F332" s="9">
        <v>4.7169811320754715E-3</v>
      </c>
    </row>
    <row r="333" spans="2:6" x14ac:dyDescent="0.35">
      <c r="B333" s="4" t="s">
        <v>128</v>
      </c>
      <c r="C333" s="3">
        <v>1</v>
      </c>
      <c r="D333" s="2">
        <v>0</v>
      </c>
      <c r="E333" s="2">
        <f t="shared" si="8"/>
        <v>1</v>
      </c>
      <c r="F333" s="9">
        <v>4.7169811320754715E-3</v>
      </c>
    </row>
    <row r="334" spans="2:6" x14ac:dyDescent="0.35">
      <c r="B334" s="4" t="s">
        <v>187</v>
      </c>
      <c r="C334" s="3">
        <v>1</v>
      </c>
      <c r="D334" s="2">
        <v>0</v>
      </c>
      <c r="E334" s="2">
        <f t="shared" si="8"/>
        <v>1</v>
      </c>
      <c r="F334" s="9">
        <v>4.7169811320754715E-3</v>
      </c>
    </row>
    <row r="335" spans="2:6" x14ac:dyDescent="0.35">
      <c r="B335" s="4" t="s">
        <v>351</v>
      </c>
      <c r="C335" s="3">
        <v>1</v>
      </c>
      <c r="D335" s="2">
        <v>0</v>
      </c>
      <c r="E335" s="2">
        <f t="shared" si="8"/>
        <v>1</v>
      </c>
      <c r="F335" s="9">
        <v>4.7169811320754715E-3</v>
      </c>
    </row>
    <row r="336" spans="2:6" x14ac:dyDescent="0.35">
      <c r="B336" s="4" t="s">
        <v>233</v>
      </c>
      <c r="C336" s="3">
        <v>1</v>
      </c>
      <c r="D336" s="2">
        <v>0</v>
      </c>
      <c r="E336" s="2">
        <f t="shared" si="8"/>
        <v>1</v>
      </c>
      <c r="F336" s="9">
        <v>4.7169811320754715E-3</v>
      </c>
    </row>
    <row r="337" spans="2:6" x14ac:dyDescent="0.35">
      <c r="B337" s="4" t="s">
        <v>204</v>
      </c>
      <c r="C337" s="3">
        <v>2</v>
      </c>
      <c r="D337" s="2">
        <v>0</v>
      </c>
      <c r="E337" s="2">
        <f t="shared" si="8"/>
        <v>2</v>
      </c>
      <c r="F337" s="9">
        <v>9.433962264150943E-3</v>
      </c>
    </row>
    <row r="338" spans="2:6" x14ac:dyDescent="0.35">
      <c r="B338" s="4" t="s">
        <v>241</v>
      </c>
      <c r="C338" s="3">
        <v>1</v>
      </c>
      <c r="D338" s="2">
        <v>0</v>
      </c>
      <c r="E338" s="2">
        <f t="shared" si="8"/>
        <v>1</v>
      </c>
      <c r="F338" s="9">
        <v>4.7169811320754715E-3</v>
      </c>
    </row>
    <row r="339" spans="2:6" x14ac:dyDescent="0.35">
      <c r="B339" s="4" t="s">
        <v>194</v>
      </c>
      <c r="C339" s="3">
        <v>2</v>
      </c>
      <c r="D339" s="2">
        <v>0</v>
      </c>
      <c r="E339" s="2">
        <f t="shared" si="8"/>
        <v>2</v>
      </c>
      <c r="F339" s="9">
        <v>9.433962264150943E-3</v>
      </c>
    </row>
    <row r="340" spans="2:6" x14ac:dyDescent="0.35">
      <c r="B340" s="4" t="s">
        <v>201</v>
      </c>
      <c r="C340" s="3">
        <v>1</v>
      </c>
      <c r="D340" s="2">
        <v>0</v>
      </c>
      <c r="E340" s="2">
        <f t="shared" si="8"/>
        <v>1</v>
      </c>
      <c r="F340" s="9">
        <v>4.7169811320754715E-3</v>
      </c>
    </row>
    <row r="341" spans="2:6" x14ac:dyDescent="0.35">
      <c r="B341" s="4" t="s">
        <v>207</v>
      </c>
      <c r="C341" s="3">
        <v>1</v>
      </c>
      <c r="D341" s="2">
        <v>0</v>
      </c>
      <c r="E341" s="2">
        <f t="shared" si="8"/>
        <v>1</v>
      </c>
      <c r="F341" s="9">
        <v>4.7169811320754715E-3</v>
      </c>
    </row>
    <row r="342" spans="2:6" x14ac:dyDescent="0.35">
      <c r="B342" s="4" t="s">
        <v>269</v>
      </c>
      <c r="C342" s="3">
        <v>1</v>
      </c>
      <c r="D342" s="2">
        <v>0</v>
      </c>
      <c r="E342" s="2">
        <f t="shared" si="8"/>
        <v>1</v>
      </c>
      <c r="F342" s="9">
        <v>4.7169811320754715E-3</v>
      </c>
    </row>
    <row r="343" spans="2:6" x14ac:dyDescent="0.35">
      <c r="B343" s="4" t="s">
        <v>160</v>
      </c>
      <c r="C343" s="3">
        <v>1</v>
      </c>
      <c r="D343" s="2">
        <v>1</v>
      </c>
      <c r="E343" s="2">
        <f t="shared" si="8"/>
        <v>2</v>
      </c>
      <c r="F343" s="9">
        <v>9.433962264150943E-3</v>
      </c>
    </row>
    <row r="344" spans="2:6" x14ac:dyDescent="0.35">
      <c r="B344" s="4" t="s">
        <v>176</v>
      </c>
      <c r="C344" s="3">
        <v>2</v>
      </c>
      <c r="D344" s="2">
        <v>1</v>
      </c>
      <c r="E344" s="2">
        <f t="shared" si="8"/>
        <v>3</v>
      </c>
      <c r="F344" s="9">
        <v>1.4150943396226415E-2</v>
      </c>
    </row>
    <row r="345" spans="2:6" x14ac:dyDescent="0.35">
      <c r="B345" s="4" t="s">
        <v>192</v>
      </c>
      <c r="C345" s="3">
        <v>1</v>
      </c>
      <c r="D345" s="2">
        <v>0</v>
      </c>
      <c r="E345" s="2">
        <f t="shared" si="8"/>
        <v>1</v>
      </c>
      <c r="F345" s="9">
        <v>4.7169811320754715E-3</v>
      </c>
    </row>
    <row r="346" spans="2:6" x14ac:dyDescent="0.35">
      <c r="B346" s="4" t="s">
        <v>215</v>
      </c>
      <c r="C346" s="3">
        <v>1</v>
      </c>
      <c r="D346" s="2">
        <v>0</v>
      </c>
      <c r="E346" s="2">
        <f t="shared" si="8"/>
        <v>1</v>
      </c>
      <c r="F346" s="9">
        <v>4.7169811320754715E-3</v>
      </c>
    </row>
    <row r="347" spans="2:6" x14ac:dyDescent="0.35">
      <c r="B347" s="4" t="s">
        <v>255</v>
      </c>
      <c r="C347" s="3">
        <v>1</v>
      </c>
      <c r="D347" s="2">
        <v>0</v>
      </c>
      <c r="E347" s="2">
        <f t="shared" si="8"/>
        <v>1</v>
      </c>
      <c r="F347" s="9">
        <v>4.7169811320754715E-3</v>
      </c>
    </row>
    <row r="348" spans="2:6" x14ac:dyDescent="0.35">
      <c r="B348" s="4" t="s">
        <v>331</v>
      </c>
      <c r="C348" s="3">
        <v>3</v>
      </c>
      <c r="D348" s="2">
        <v>0</v>
      </c>
      <c r="E348" s="2">
        <f t="shared" si="8"/>
        <v>3</v>
      </c>
      <c r="F348" s="9">
        <v>1.4150943396226415E-2</v>
      </c>
    </row>
    <row r="349" spans="2:6" x14ac:dyDescent="0.35">
      <c r="B349" s="4" t="s">
        <v>69</v>
      </c>
      <c r="C349" s="3">
        <v>1</v>
      </c>
      <c r="D349" s="2">
        <v>0</v>
      </c>
      <c r="E349" s="2">
        <f t="shared" si="8"/>
        <v>1</v>
      </c>
      <c r="F349" s="9">
        <v>4.7169811320754715E-3</v>
      </c>
    </row>
    <row r="350" spans="2:6" x14ac:dyDescent="0.35">
      <c r="B350" s="4" t="s">
        <v>105</v>
      </c>
      <c r="C350" s="3">
        <v>1</v>
      </c>
      <c r="D350" s="2">
        <v>0</v>
      </c>
      <c r="E350" s="2">
        <f t="shared" si="8"/>
        <v>1</v>
      </c>
      <c r="F350" s="9">
        <v>4.7169811320754715E-3</v>
      </c>
    </row>
    <row r="351" spans="2:6" x14ac:dyDescent="0.35">
      <c r="B351" s="4" t="s">
        <v>277</v>
      </c>
      <c r="C351" s="3">
        <v>1</v>
      </c>
      <c r="D351" s="2">
        <v>0</v>
      </c>
      <c r="E351" s="2">
        <f t="shared" si="8"/>
        <v>1</v>
      </c>
      <c r="F351" s="9">
        <v>4.7169811320754715E-3</v>
      </c>
    </row>
    <row r="352" spans="2:6" x14ac:dyDescent="0.35">
      <c r="B352" s="4" t="s">
        <v>264</v>
      </c>
      <c r="C352" s="3">
        <v>1</v>
      </c>
      <c r="D352" s="2">
        <v>0</v>
      </c>
      <c r="E352" s="2">
        <f t="shared" si="8"/>
        <v>1</v>
      </c>
      <c r="F352" s="9">
        <v>4.7169811320754715E-3</v>
      </c>
    </row>
    <row r="353" spans="2:6" x14ac:dyDescent="0.35">
      <c r="B353" s="4" t="s">
        <v>216</v>
      </c>
      <c r="C353" s="3">
        <v>2</v>
      </c>
      <c r="D353" s="2">
        <v>0</v>
      </c>
      <c r="E353" s="2">
        <f t="shared" si="8"/>
        <v>2</v>
      </c>
      <c r="F353" s="9">
        <v>9.433962264150943E-3</v>
      </c>
    </row>
    <row r="354" spans="2:6" x14ac:dyDescent="0.35">
      <c r="B354" s="4" t="s">
        <v>137</v>
      </c>
      <c r="C354" s="3">
        <v>1</v>
      </c>
      <c r="D354" s="2">
        <v>0</v>
      </c>
      <c r="E354" s="2">
        <f t="shared" si="8"/>
        <v>1</v>
      </c>
      <c r="F354" s="9">
        <v>4.7169811320754715E-3</v>
      </c>
    </row>
    <row r="355" spans="2:6" x14ac:dyDescent="0.35">
      <c r="B355" s="4" t="s">
        <v>126</v>
      </c>
      <c r="C355" s="3">
        <v>1</v>
      </c>
      <c r="D355" s="2">
        <v>0</v>
      </c>
      <c r="E355" s="2">
        <f t="shared" si="8"/>
        <v>1</v>
      </c>
      <c r="F355" s="9">
        <v>4.7169811320754715E-3</v>
      </c>
    </row>
    <row r="356" spans="2:6" x14ac:dyDescent="0.35">
      <c r="B356" s="4" t="s">
        <v>318</v>
      </c>
      <c r="C356" s="3">
        <v>3</v>
      </c>
      <c r="D356" s="2">
        <v>0</v>
      </c>
      <c r="E356" s="2">
        <f t="shared" si="8"/>
        <v>3</v>
      </c>
      <c r="F356" s="9">
        <v>1.4150943396226415E-2</v>
      </c>
    </row>
    <row r="357" spans="2:6" x14ac:dyDescent="0.35">
      <c r="B357" s="4" t="s">
        <v>142</v>
      </c>
      <c r="C357" s="3">
        <v>1</v>
      </c>
      <c r="D357" s="2">
        <v>0</v>
      </c>
      <c r="E357" s="2">
        <f t="shared" si="8"/>
        <v>1</v>
      </c>
      <c r="F357" s="9">
        <v>4.7169811320754715E-3</v>
      </c>
    </row>
    <row r="358" spans="2:6" x14ac:dyDescent="0.35">
      <c r="B358" s="4" t="s">
        <v>391</v>
      </c>
      <c r="C358" s="3">
        <v>1</v>
      </c>
      <c r="D358" s="2">
        <v>0</v>
      </c>
      <c r="E358" s="2">
        <f t="shared" si="8"/>
        <v>1</v>
      </c>
      <c r="F358" s="9">
        <v>4.7169811320754715E-3</v>
      </c>
    </row>
    <row r="359" spans="2:6" x14ac:dyDescent="0.35">
      <c r="B359" s="4" t="s">
        <v>231</v>
      </c>
      <c r="C359" s="3">
        <v>2</v>
      </c>
      <c r="D359" s="2">
        <v>0</v>
      </c>
      <c r="E359" s="2">
        <f t="shared" si="8"/>
        <v>2</v>
      </c>
      <c r="F359" s="9">
        <v>9.433962264150943E-3</v>
      </c>
    </row>
    <row r="360" spans="2:6" x14ac:dyDescent="0.35">
      <c r="B360" s="4" t="s">
        <v>155</v>
      </c>
      <c r="C360" s="3">
        <v>1</v>
      </c>
      <c r="D360" s="2">
        <v>0</v>
      </c>
      <c r="E360" s="2">
        <f t="shared" si="8"/>
        <v>1</v>
      </c>
      <c r="F360" s="9">
        <v>4.7169811320754715E-3</v>
      </c>
    </row>
    <row r="361" spans="2:6" x14ac:dyDescent="0.35">
      <c r="B361" s="4" t="s">
        <v>154</v>
      </c>
      <c r="C361" s="3">
        <v>1</v>
      </c>
      <c r="D361" s="2">
        <v>0</v>
      </c>
      <c r="E361" s="2">
        <f t="shared" si="8"/>
        <v>1</v>
      </c>
      <c r="F361" s="9">
        <v>4.7169811320754715E-3</v>
      </c>
    </row>
    <row r="362" spans="2:6" x14ac:dyDescent="0.35">
      <c r="B362" s="4" t="s">
        <v>110</v>
      </c>
      <c r="C362" s="3">
        <v>1</v>
      </c>
      <c r="D362" s="2">
        <v>0</v>
      </c>
      <c r="E362" s="2">
        <f t="shared" si="8"/>
        <v>1</v>
      </c>
      <c r="F362" s="9">
        <v>4.7169811320754715E-3</v>
      </c>
    </row>
    <row r="363" spans="2:6" x14ac:dyDescent="0.35">
      <c r="B363" s="4" t="s">
        <v>177</v>
      </c>
      <c r="C363" s="3">
        <v>1</v>
      </c>
      <c r="D363" s="2">
        <v>0</v>
      </c>
      <c r="E363" s="2">
        <f t="shared" si="8"/>
        <v>1</v>
      </c>
      <c r="F363" s="9">
        <v>4.7169811320754715E-3</v>
      </c>
    </row>
    <row r="364" spans="2:6" x14ac:dyDescent="0.35">
      <c r="B364" s="4" t="s">
        <v>279</v>
      </c>
      <c r="C364" s="3">
        <v>2</v>
      </c>
      <c r="D364" s="2">
        <v>0</v>
      </c>
      <c r="E364" s="2">
        <f t="shared" si="8"/>
        <v>2</v>
      </c>
      <c r="F364" s="9">
        <v>9.433962264150943E-3</v>
      </c>
    </row>
    <row r="365" spans="2:6" x14ac:dyDescent="0.35">
      <c r="B365" s="4" t="s">
        <v>356</v>
      </c>
      <c r="C365" s="3">
        <v>1</v>
      </c>
      <c r="D365" s="2">
        <v>0</v>
      </c>
      <c r="E365" s="2">
        <f t="shared" si="8"/>
        <v>1</v>
      </c>
      <c r="F365" s="9">
        <v>4.7169811320754715E-3</v>
      </c>
    </row>
    <row r="366" spans="2:6" x14ac:dyDescent="0.35">
      <c r="B366" s="4" t="s">
        <v>169</v>
      </c>
      <c r="C366" s="3">
        <v>1</v>
      </c>
      <c r="D366" s="2">
        <v>2</v>
      </c>
      <c r="E366" s="2">
        <f t="shared" si="8"/>
        <v>3</v>
      </c>
      <c r="F366" s="9">
        <v>1.4150943396226415E-2</v>
      </c>
    </row>
    <row r="367" spans="2:6" x14ac:dyDescent="0.35">
      <c r="B367" s="4" t="s">
        <v>284</v>
      </c>
      <c r="C367" s="3">
        <v>1</v>
      </c>
      <c r="D367" s="2">
        <v>0</v>
      </c>
      <c r="E367" s="2">
        <f t="shared" si="8"/>
        <v>1</v>
      </c>
      <c r="F367" s="9">
        <v>4.7169811320754715E-3</v>
      </c>
    </row>
    <row r="368" spans="2:6" x14ac:dyDescent="0.35">
      <c r="B368" s="4" t="s">
        <v>272</v>
      </c>
      <c r="C368" s="3">
        <v>1</v>
      </c>
      <c r="D368" s="2">
        <v>1</v>
      </c>
      <c r="E368" s="2">
        <f t="shared" si="8"/>
        <v>2</v>
      </c>
      <c r="F368" s="9">
        <v>9.433962264150943E-3</v>
      </c>
    </row>
    <row r="369" spans="2:6" x14ac:dyDescent="0.35">
      <c r="B369" s="4" t="s">
        <v>275</v>
      </c>
      <c r="C369" s="3">
        <v>1</v>
      </c>
      <c r="D369" s="2">
        <v>0</v>
      </c>
      <c r="E369" s="2">
        <f t="shared" si="8"/>
        <v>1</v>
      </c>
      <c r="F369" s="9">
        <v>4.7169811320754715E-3</v>
      </c>
    </row>
    <row r="370" spans="2:6" x14ac:dyDescent="0.35">
      <c r="B370" s="4" t="s">
        <v>292</v>
      </c>
      <c r="C370" s="3">
        <v>1</v>
      </c>
      <c r="D370" s="2">
        <v>0</v>
      </c>
      <c r="E370" s="2">
        <f t="shared" si="8"/>
        <v>1</v>
      </c>
      <c r="F370" s="9">
        <v>4.7169811320754715E-3</v>
      </c>
    </row>
    <row r="371" spans="2:6" x14ac:dyDescent="0.35">
      <c r="B371" s="4" t="s">
        <v>260</v>
      </c>
      <c r="C371" s="3">
        <v>1</v>
      </c>
      <c r="D371" s="2">
        <v>2</v>
      </c>
      <c r="E371" s="2">
        <f t="shared" si="8"/>
        <v>3</v>
      </c>
      <c r="F371" s="9">
        <v>1.4150943396226415E-2</v>
      </c>
    </row>
    <row r="372" spans="2:6" x14ac:dyDescent="0.35">
      <c r="B372" s="4" t="s">
        <v>293</v>
      </c>
      <c r="C372" s="3">
        <v>1</v>
      </c>
      <c r="D372" s="2">
        <v>0</v>
      </c>
      <c r="E372" s="2">
        <f t="shared" si="8"/>
        <v>1</v>
      </c>
      <c r="F372" s="9">
        <v>4.7169811320754715E-3</v>
      </c>
    </row>
    <row r="373" spans="2:6" x14ac:dyDescent="0.35">
      <c r="B373" s="4" t="s">
        <v>358</v>
      </c>
      <c r="C373" s="3">
        <v>2</v>
      </c>
      <c r="D373" s="2">
        <v>0</v>
      </c>
      <c r="E373" s="2">
        <f t="shared" si="8"/>
        <v>2</v>
      </c>
      <c r="F373" s="9">
        <v>9.433962264150943E-3</v>
      </c>
    </row>
    <row r="374" spans="2:6" x14ac:dyDescent="0.35">
      <c r="B374" s="4" t="s">
        <v>410</v>
      </c>
      <c r="C374" s="3">
        <v>1</v>
      </c>
      <c r="D374" s="2">
        <v>0</v>
      </c>
      <c r="E374" s="2">
        <f t="shared" si="8"/>
        <v>1</v>
      </c>
      <c r="F374" s="9">
        <v>4.7169811320754715E-3</v>
      </c>
    </row>
    <row r="375" spans="2:6" x14ac:dyDescent="0.35">
      <c r="B375" s="4" t="s">
        <v>202</v>
      </c>
      <c r="C375" s="3">
        <v>1</v>
      </c>
      <c r="D375" s="2">
        <v>0</v>
      </c>
      <c r="E375" s="2">
        <f t="shared" si="8"/>
        <v>1</v>
      </c>
      <c r="F375" s="9">
        <v>4.7169811320754715E-3</v>
      </c>
    </row>
    <row r="376" spans="2:6" x14ac:dyDescent="0.35">
      <c r="B376" s="4" t="s">
        <v>305</v>
      </c>
      <c r="C376" s="3">
        <v>1</v>
      </c>
      <c r="D376" s="2">
        <v>0</v>
      </c>
      <c r="E376" s="2">
        <f t="shared" si="8"/>
        <v>1</v>
      </c>
      <c r="F376" s="9">
        <v>4.7169811320754715E-3</v>
      </c>
    </row>
    <row r="377" spans="2:6" x14ac:dyDescent="0.35">
      <c r="B377" s="4" t="s">
        <v>386</v>
      </c>
      <c r="C377" s="3">
        <v>1</v>
      </c>
      <c r="D377" s="2">
        <v>0</v>
      </c>
      <c r="E377" s="2">
        <f t="shared" si="8"/>
        <v>1</v>
      </c>
      <c r="F377" s="9">
        <v>4.7169811320754715E-3</v>
      </c>
    </row>
    <row r="378" spans="2:6" x14ac:dyDescent="0.35">
      <c r="B378" s="4" t="s">
        <v>376</v>
      </c>
      <c r="C378" s="3">
        <v>1</v>
      </c>
      <c r="D378" s="2">
        <v>0</v>
      </c>
      <c r="E378" s="2">
        <f t="shared" si="8"/>
        <v>1</v>
      </c>
      <c r="F378" s="9">
        <v>4.7169811320754715E-3</v>
      </c>
    </row>
    <row r="379" spans="2:6" x14ac:dyDescent="0.35">
      <c r="B379" s="4" t="s">
        <v>205</v>
      </c>
      <c r="C379" s="3">
        <v>1</v>
      </c>
      <c r="D379" s="2">
        <v>0</v>
      </c>
      <c r="E379" s="2">
        <f t="shared" si="8"/>
        <v>1</v>
      </c>
      <c r="F379" s="9">
        <v>4.7169811320754715E-3</v>
      </c>
    </row>
    <row r="380" spans="2:6" x14ac:dyDescent="0.35">
      <c r="B380" s="4" t="s">
        <v>374</v>
      </c>
      <c r="C380" s="3">
        <v>1</v>
      </c>
      <c r="D380" s="2">
        <v>0</v>
      </c>
      <c r="E380" s="2">
        <f t="shared" si="8"/>
        <v>1</v>
      </c>
      <c r="F380" s="9">
        <v>4.7169811320754715E-3</v>
      </c>
    </row>
    <row r="381" spans="2:6" x14ac:dyDescent="0.35">
      <c r="B381" s="4" t="s">
        <v>170</v>
      </c>
      <c r="C381" s="3">
        <v>2</v>
      </c>
      <c r="D381" s="2">
        <v>0</v>
      </c>
      <c r="E381" s="2">
        <f t="shared" si="8"/>
        <v>2</v>
      </c>
      <c r="F381" s="9">
        <v>9.433962264150943E-3</v>
      </c>
    </row>
    <row r="382" spans="2:6" x14ac:dyDescent="0.35">
      <c r="B382" s="4" t="s">
        <v>175</v>
      </c>
      <c r="C382" s="3">
        <v>1</v>
      </c>
      <c r="D382" s="2">
        <v>1</v>
      </c>
      <c r="E382" s="2">
        <f t="shared" si="8"/>
        <v>2</v>
      </c>
      <c r="F382" s="9">
        <v>9.433962264150943E-3</v>
      </c>
    </row>
    <row r="383" spans="2:6" x14ac:dyDescent="0.35">
      <c r="B383" s="4" t="s">
        <v>309</v>
      </c>
      <c r="C383" s="3">
        <v>2</v>
      </c>
      <c r="D383" s="2">
        <v>0</v>
      </c>
      <c r="E383" s="2">
        <f t="shared" si="8"/>
        <v>2</v>
      </c>
      <c r="F383" s="9">
        <v>9.433962264150943E-3</v>
      </c>
    </row>
    <row r="384" spans="2:6" x14ac:dyDescent="0.35">
      <c r="B384" s="4" t="s">
        <v>240</v>
      </c>
      <c r="C384" s="3">
        <v>1</v>
      </c>
      <c r="D384" s="2">
        <v>1</v>
      </c>
      <c r="E384" s="2">
        <f t="shared" si="8"/>
        <v>2</v>
      </c>
      <c r="F384" s="9">
        <v>9.433962264150943E-3</v>
      </c>
    </row>
    <row r="385" spans="2:6" x14ac:dyDescent="0.35">
      <c r="B385" s="4" t="s">
        <v>306</v>
      </c>
      <c r="C385" s="3">
        <v>1</v>
      </c>
      <c r="D385" s="2">
        <v>0</v>
      </c>
      <c r="E385" s="2">
        <f t="shared" si="8"/>
        <v>1</v>
      </c>
      <c r="F385" s="9">
        <v>4.7169811320754715E-3</v>
      </c>
    </row>
    <row r="386" spans="2:6" x14ac:dyDescent="0.35">
      <c r="B386" s="4" t="s">
        <v>66</v>
      </c>
      <c r="C386" s="3">
        <v>2</v>
      </c>
      <c r="D386" s="2">
        <v>0</v>
      </c>
      <c r="E386" s="2">
        <f t="shared" si="8"/>
        <v>2</v>
      </c>
      <c r="F386" s="9">
        <v>9.433962264150943E-3</v>
      </c>
    </row>
    <row r="387" spans="2:6" x14ac:dyDescent="0.35">
      <c r="B387" s="4" t="s">
        <v>87</v>
      </c>
      <c r="C387" s="3">
        <v>1</v>
      </c>
      <c r="D387" s="2">
        <v>1</v>
      </c>
      <c r="E387" s="2">
        <f t="shared" si="8"/>
        <v>2</v>
      </c>
      <c r="F387" s="9">
        <v>9.433962264150943E-3</v>
      </c>
    </row>
    <row r="388" spans="2:6" x14ac:dyDescent="0.35">
      <c r="B388" s="4" t="s">
        <v>303</v>
      </c>
      <c r="C388" s="3">
        <v>1</v>
      </c>
      <c r="D388" s="2">
        <v>1</v>
      </c>
      <c r="E388" s="2">
        <f t="shared" ref="E388:E451" si="9">C388+D388</f>
        <v>2</v>
      </c>
      <c r="F388" s="9">
        <v>9.433962264150943E-3</v>
      </c>
    </row>
    <row r="389" spans="2:6" x14ac:dyDescent="0.35">
      <c r="B389" s="4" t="s">
        <v>63</v>
      </c>
      <c r="C389" s="3">
        <v>1</v>
      </c>
      <c r="D389" s="2">
        <v>0</v>
      </c>
      <c r="E389" s="2">
        <f t="shared" si="9"/>
        <v>1</v>
      </c>
      <c r="F389" s="9">
        <v>4.7169811320754715E-3</v>
      </c>
    </row>
    <row r="390" spans="2:6" x14ac:dyDescent="0.35">
      <c r="B390" s="4" t="s">
        <v>48</v>
      </c>
      <c r="C390" s="3">
        <v>2</v>
      </c>
      <c r="D390" s="2">
        <v>0</v>
      </c>
      <c r="E390" s="2">
        <f t="shared" si="9"/>
        <v>2</v>
      </c>
      <c r="F390" s="9">
        <v>9.433962264150943E-3</v>
      </c>
    </row>
    <row r="391" spans="2:6" x14ac:dyDescent="0.35">
      <c r="B391" s="4" t="s">
        <v>157</v>
      </c>
      <c r="C391" s="3">
        <v>1</v>
      </c>
      <c r="D391" s="2">
        <v>0</v>
      </c>
      <c r="E391" s="2">
        <f t="shared" si="9"/>
        <v>1</v>
      </c>
      <c r="F391" s="9">
        <v>4.7169811320754715E-3</v>
      </c>
    </row>
    <row r="392" spans="2:6" x14ac:dyDescent="0.35">
      <c r="B392" s="4" t="s">
        <v>320</v>
      </c>
      <c r="C392" s="3">
        <v>2</v>
      </c>
      <c r="D392" s="2">
        <v>0</v>
      </c>
      <c r="E392" s="2">
        <f t="shared" si="9"/>
        <v>2</v>
      </c>
      <c r="F392" s="9">
        <v>9.433962264150943E-3</v>
      </c>
    </row>
    <row r="393" spans="2:6" x14ac:dyDescent="0.35">
      <c r="B393" s="4" t="s">
        <v>360</v>
      </c>
      <c r="C393" s="3">
        <v>1</v>
      </c>
      <c r="D393" s="2">
        <v>0</v>
      </c>
      <c r="E393" s="2">
        <f t="shared" si="9"/>
        <v>1</v>
      </c>
      <c r="F393" s="9">
        <v>4.7169811320754715E-3</v>
      </c>
    </row>
    <row r="394" spans="2:6" x14ac:dyDescent="0.35">
      <c r="B394" s="4" t="s">
        <v>324</v>
      </c>
      <c r="C394" s="3">
        <v>1</v>
      </c>
      <c r="D394" s="2">
        <v>0</v>
      </c>
      <c r="E394" s="2">
        <f t="shared" si="9"/>
        <v>1</v>
      </c>
      <c r="F394" s="9">
        <v>4.7169811320754715E-3</v>
      </c>
    </row>
    <row r="395" spans="2:6" x14ac:dyDescent="0.35">
      <c r="B395" s="4" t="s">
        <v>182</v>
      </c>
      <c r="C395" s="3">
        <v>1</v>
      </c>
      <c r="D395" s="2">
        <v>0</v>
      </c>
      <c r="E395" s="2">
        <f t="shared" si="9"/>
        <v>1</v>
      </c>
      <c r="F395" s="9">
        <v>4.7169811320754715E-3</v>
      </c>
    </row>
    <row r="396" spans="2:6" x14ac:dyDescent="0.35">
      <c r="B396" s="4" t="s">
        <v>282</v>
      </c>
      <c r="C396" s="3">
        <v>2</v>
      </c>
      <c r="D396" s="2">
        <v>0</v>
      </c>
      <c r="E396" s="2">
        <f t="shared" si="9"/>
        <v>2</v>
      </c>
      <c r="F396" s="9">
        <v>9.433962264150943E-3</v>
      </c>
    </row>
    <row r="397" spans="2:6" x14ac:dyDescent="0.35">
      <c r="B397" s="4" t="s">
        <v>308</v>
      </c>
      <c r="C397" s="3">
        <v>1</v>
      </c>
      <c r="D397" s="2">
        <v>0</v>
      </c>
      <c r="E397" s="2">
        <f t="shared" si="9"/>
        <v>1</v>
      </c>
      <c r="F397" s="9">
        <v>4.7169811320754715E-3</v>
      </c>
    </row>
    <row r="398" spans="2:6" x14ac:dyDescent="0.35">
      <c r="B398" s="4" t="s">
        <v>228</v>
      </c>
      <c r="C398" s="3">
        <v>2</v>
      </c>
      <c r="D398" s="2">
        <v>0</v>
      </c>
      <c r="E398" s="2">
        <f t="shared" si="9"/>
        <v>2</v>
      </c>
      <c r="F398" s="9">
        <v>9.433962264150943E-3</v>
      </c>
    </row>
    <row r="399" spans="2:6" x14ac:dyDescent="0.35">
      <c r="B399" s="4" t="s">
        <v>261</v>
      </c>
      <c r="C399" s="3">
        <v>2</v>
      </c>
      <c r="D399" s="2">
        <v>0</v>
      </c>
      <c r="E399" s="2">
        <f t="shared" si="9"/>
        <v>2</v>
      </c>
      <c r="F399" s="9">
        <v>9.433962264150943E-3</v>
      </c>
    </row>
    <row r="400" spans="2:6" x14ac:dyDescent="0.35">
      <c r="B400" s="4" t="s">
        <v>190</v>
      </c>
      <c r="C400" s="3">
        <v>1</v>
      </c>
      <c r="D400" s="2">
        <v>0</v>
      </c>
      <c r="E400" s="2">
        <f t="shared" si="9"/>
        <v>1</v>
      </c>
      <c r="F400" s="9">
        <v>4.7169811320754715E-3</v>
      </c>
    </row>
    <row r="401" spans="2:6" x14ac:dyDescent="0.35">
      <c r="B401" s="4" t="s">
        <v>280</v>
      </c>
      <c r="C401" s="3">
        <v>1</v>
      </c>
      <c r="D401" s="2">
        <v>0</v>
      </c>
      <c r="E401" s="2">
        <f t="shared" si="9"/>
        <v>1</v>
      </c>
      <c r="F401" s="9">
        <v>4.7169811320754715E-3</v>
      </c>
    </row>
    <row r="402" spans="2:6" x14ac:dyDescent="0.35">
      <c r="B402" s="4" t="s">
        <v>307</v>
      </c>
      <c r="C402" s="3">
        <v>3</v>
      </c>
      <c r="D402" s="2">
        <v>0</v>
      </c>
      <c r="E402" s="2">
        <f t="shared" si="9"/>
        <v>3</v>
      </c>
      <c r="F402" s="9">
        <v>1.4150943396226415E-2</v>
      </c>
    </row>
    <row r="403" spans="2:6" x14ac:dyDescent="0.35">
      <c r="B403" s="4" t="s">
        <v>312</v>
      </c>
      <c r="C403" s="3">
        <v>1</v>
      </c>
      <c r="D403" s="2">
        <v>0</v>
      </c>
      <c r="E403" s="2">
        <f t="shared" si="9"/>
        <v>1</v>
      </c>
      <c r="F403" s="9">
        <v>4.7169811320754715E-3</v>
      </c>
    </row>
    <row r="404" spans="2:6" x14ac:dyDescent="0.35">
      <c r="B404" s="4" t="s">
        <v>274</v>
      </c>
      <c r="C404" s="3">
        <v>1</v>
      </c>
      <c r="D404" s="2">
        <v>2</v>
      </c>
      <c r="E404" s="2">
        <f t="shared" si="9"/>
        <v>3</v>
      </c>
      <c r="F404" s="9">
        <v>1.4150943396226415E-2</v>
      </c>
    </row>
    <row r="405" spans="2:6" x14ac:dyDescent="0.35">
      <c r="B405" s="4" t="s">
        <v>343</v>
      </c>
      <c r="C405" s="3">
        <v>2</v>
      </c>
      <c r="D405" s="2">
        <v>0</v>
      </c>
      <c r="E405" s="2">
        <f t="shared" si="9"/>
        <v>2</v>
      </c>
      <c r="F405" s="9">
        <v>9.433962264150943E-3</v>
      </c>
    </row>
    <row r="406" spans="2:6" x14ac:dyDescent="0.35">
      <c r="B406" s="4" t="s">
        <v>357</v>
      </c>
      <c r="C406" s="3">
        <v>2</v>
      </c>
      <c r="D406" s="2">
        <v>0</v>
      </c>
      <c r="E406" s="2">
        <f t="shared" si="9"/>
        <v>2</v>
      </c>
      <c r="F406" s="9">
        <v>9.433962264150943E-3</v>
      </c>
    </row>
    <row r="407" spans="2:6" x14ac:dyDescent="0.35">
      <c r="B407" s="4" t="s">
        <v>186</v>
      </c>
      <c r="C407" s="3">
        <v>1</v>
      </c>
      <c r="D407" s="2">
        <v>0</v>
      </c>
      <c r="E407" s="2">
        <f t="shared" si="9"/>
        <v>1</v>
      </c>
      <c r="F407" s="9">
        <v>4.7169811320754715E-3</v>
      </c>
    </row>
    <row r="408" spans="2:6" x14ac:dyDescent="0.35">
      <c r="B408" s="4" t="s">
        <v>124</v>
      </c>
      <c r="C408" s="3">
        <v>1</v>
      </c>
      <c r="D408" s="2">
        <v>0</v>
      </c>
      <c r="E408" s="2">
        <f t="shared" si="9"/>
        <v>1</v>
      </c>
      <c r="F408" s="9">
        <v>4.7169811320754715E-3</v>
      </c>
    </row>
    <row r="409" spans="2:6" x14ac:dyDescent="0.35">
      <c r="B409" s="4" t="s">
        <v>70</v>
      </c>
      <c r="C409" s="3">
        <v>2</v>
      </c>
      <c r="D409" s="2">
        <v>0</v>
      </c>
      <c r="E409" s="2">
        <f t="shared" si="9"/>
        <v>2</v>
      </c>
      <c r="F409" s="9">
        <v>9.433962264150943E-3</v>
      </c>
    </row>
    <row r="410" spans="2:6" x14ac:dyDescent="0.35">
      <c r="B410" s="4" t="s">
        <v>291</v>
      </c>
      <c r="C410" s="3">
        <v>1</v>
      </c>
      <c r="D410" s="2">
        <v>0</v>
      </c>
      <c r="E410" s="2">
        <f t="shared" si="9"/>
        <v>1</v>
      </c>
      <c r="F410" s="9">
        <v>4.7169811320754715E-3</v>
      </c>
    </row>
    <row r="411" spans="2:6" x14ac:dyDescent="0.35">
      <c r="B411" s="4" t="s">
        <v>242</v>
      </c>
      <c r="C411" s="3">
        <v>1</v>
      </c>
      <c r="D411" s="2">
        <v>2</v>
      </c>
      <c r="E411" s="2">
        <f t="shared" si="9"/>
        <v>3</v>
      </c>
      <c r="F411" s="9">
        <v>1.4150943396226415E-2</v>
      </c>
    </row>
    <row r="412" spans="2:6" x14ac:dyDescent="0.35">
      <c r="B412" s="4" t="s">
        <v>141</v>
      </c>
      <c r="C412" s="3">
        <v>1</v>
      </c>
      <c r="D412" s="2">
        <v>1</v>
      </c>
      <c r="E412" s="2">
        <f t="shared" si="9"/>
        <v>2</v>
      </c>
      <c r="F412" s="9">
        <v>9.433962264150943E-3</v>
      </c>
    </row>
    <row r="413" spans="2:6" x14ac:dyDescent="0.35">
      <c r="B413" s="4" t="s">
        <v>16</v>
      </c>
      <c r="C413" s="3">
        <v>1</v>
      </c>
      <c r="D413" s="2">
        <v>0</v>
      </c>
      <c r="E413" s="2">
        <f t="shared" si="9"/>
        <v>1</v>
      </c>
      <c r="F413" s="9">
        <v>4.7169811320754715E-3</v>
      </c>
    </row>
    <row r="414" spans="2:6" x14ac:dyDescent="0.35">
      <c r="B414" s="4" t="s">
        <v>409</v>
      </c>
      <c r="C414" s="3">
        <v>1</v>
      </c>
      <c r="D414" s="2">
        <v>0</v>
      </c>
      <c r="E414" s="2">
        <f t="shared" si="9"/>
        <v>1</v>
      </c>
      <c r="F414" s="9">
        <v>4.7169811320754715E-3</v>
      </c>
    </row>
    <row r="415" spans="2:6" x14ac:dyDescent="0.35">
      <c r="B415" s="4" t="s">
        <v>230</v>
      </c>
      <c r="C415" s="3">
        <v>3</v>
      </c>
      <c r="D415" s="2">
        <v>0</v>
      </c>
      <c r="E415" s="2">
        <f t="shared" si="9"/>
        <v>3</v>
      </c>
      <c r="F415" s="9">
        <v>1.4150943396226415E-2</v>
      </c>
    </row>
    <row r="416" spans="2:6" x14ac:dyDescent="0.35">
      <c r="B416" s="4" t="s">
        <v>389</v>
      </c>
      <c r="C416" s="3">
        <v>1</v>
      </c>
      <c r="D416" s="2">
        <v>0</v>
      </c>
      <c r="E416" s="2">
        <f t="shared" si="9"/>
        <v>1</v>
      </c>
      <c r="F416" s="9">
        <v>4.7169811320754715E-3</v>
      </c>
    </row>
    <row r="417" spans="1:6" x14ac:dyDescent="0.35">
      <c r="B417" s="4" t="s">
        <v>90</v>
      </c>
      <c r="C417" s="3">
        <v>1</v>
      </c>
      <c r="D417" s="2">
        <v>0</v>
      </c>
      <c r="E417" s="2">
        <f t="shared" si="9"/>
        <v>1</v>
      </c>
      <c r="F417" s="9">
        <v>4.7169811320754715E-3</v>
      </c>
    </row>
    <row r="418" spans="1:6" x14ac:dyDescent="0.35">
      <c r="A418" s="17" t="s">
        <v>465</v>
      </c>
      <c r="B418" s="12" t="s">
        <v>462</v>
      </c>
      <c r="C418" s="13">
        <f>SUM(C419:C545)</f>
        <v>172</v>
      </c>
      <c r="D418" s="13">
        <f t="shared" ref="D418:E418" si="10">SUM(D419:D545)</f>
        <v>30</v>
      </c>
      <c r="E418" s="13">
        <f t="shared" si="10"/>
        <v>202</v>
      </c>
      <c r="F418" s="12"/>
    </row>
    <row r="419" spans="1:6" x14ac:dyDescent="0.35">
      <c r="B419" s="4" t="s">
        <v>79</v>
      </c>
      <c r="C419" s="3">
        <v>1</v>
      </c>
      <c r="D419" s="2">
        <v>1</v>
      </c>
      <c r="E419" s="2">
        <f t="shared" si="9"/>
        <v>2</v>
      </c>
      <c r="F419" s="9">
        <f>E419/202</f>
        <v>9.9009900990099011E-3</v>
      </c>
    </row>
    <row r="420" spans="1:6" x14ac:dyDescent="0.35">
      <c r="B420" s="4" t="s">
        <v>62</v>
      </c>
      <c r="C420" s="3">
        <v>2</v>
      </c>
      <c r="D420" s="2">
        <v>0</v>
      </c>
      <c r="E420" s="2">
        <f t="shared" si="9"/>
        <v>2</v>
      </c>
      <c r="F420" s="9">
        <f t="shared" ref="F420:F483" si="11">E420/202</f>
        <v>9.9009900990099011E-3</v>
      </c>
    </row>
    <row r="421" spans="1:6" x14ac:dyDescent="0.35">
      <c r="B421" s="4" t="s">
        <v>41</v>
      </c>
      <c r="C421" s="3">
        <v>2</v>
      </c>
      <c r="D421" s="2">
        <v>0</v>
      </c>
      <c r="E421" s="2">
        <f t="shared" si="9"/>
        <v>2</v>
      </c>
      <c r="F421" s="9">
        <f t="shared" si="11"/>
        <v>9.9009900990099011E-3</v>
      </c>
    </row>
    <row r="422" spans="1:6" x14ac:dyDescent="0.35">
      <c r="B422" s="4" t="s">
        <v>257</v>
      </c>
      <c r="C422" s="3">
        <v>1</v>
      </c>
      <c r="D422" s="2">
        <v>0</v>
      </c>
      <c r="E422" s="2">
        <f t="shared" si="9"/>
        <v>1</v>
      </c>
      <c r="F422" s="9">
        <f t="shared" si="11"/>
        <v>4.9504950495049506E-3</v>
      </c>
    </row>
    <row r="423" spans="1:6" x14ac:dyDescent="0.35">
      <c r="B423" s="4" t="s">
        <v>195</v>
      </c>
      <c r="C423" s="3">
        <v>1</v>
      </c>
      <c r="D423" s="2">
        <v>1</v>
      </c>
      <c r="E423" s="2">
        <f t="shared" si="9"/>
        <v>2</v>
      </c>
      <c r="F423" s="9">
        <f t="shared" si="11"/>
        <v>9.9009900990099011E-3</v>
      </c>
    </row>
    <row r="424" spans="1:6" x14ac:dyDescent="0.35">
      <c r="B424" s="4" t="s">
        <v>319</v>
      </c>
      <c r="C424" s="3">
        <v>1</v>
      </c>
      <c r="D424" s="2">
        <v>1</v>
      </c>
      <c r="E424" s="2">
        <f t="shared" si="9"/>
        <v>2</v>
      </c>
      <c r="F424" s="9">
        <f t="shared" si="11"/>
        <v>9.9009900990099011E-3</v>
      </c>
    </row>
    <row r="425" spans="1:6" x14ac:dyDescent="0.35">
      <c r="B425" s="4" t="s">
        <v>350</v>
      </c>
      <c r="C425" s="3">
        <v>1</v>
      </c>
      <c r="D425" s="2">
        <v>0</v>
      </c>
      <c r="E425" s="2">
        <f t="shared" si="9"/>
        <v>1</v>
      </c>
      <c r="F425" s="9">
        <f t="shared" si="11"/>
        <v>4.9504950495049506E-3</v>
      </c>
    </row>
    <row r="426" spans="1:6" x14ac:dyDescent="0.35">
      <c r="B426" s="4" t="s">
        <v>340</v>
      </c>
      <c r="C426" s="3">
        <v>1</v>
      </c>
      <c r="D426" s="2">
        <v>0</v>
      </c>
      <c r="E426" s="2">
        <f t="shared" si="9"/>
        <v>1</v>
      </c>
      <c r="F426" s="9">
        <f t="shared" si="11"/>
        <v>4.9504950495049506E-3</v>
      </c>
    </row>
    <row r="427" spans="1:6" x14ac:dyDescent="0.35">
      <c r="B427" s="4" t="s">
        <v>196</v>
      </c>
      <c r="C427" s="3">
        <v>2</v>
      </c>
      <c r="D427" s="2">
        <v>0</v>
      </c>
      <c r="E427" s="2">
        <f t="shared" si="9"/>
        <v>2</v>
      </c>
      <c r="F427" s="9">
        <f t="shared" si="11"/>
        <v>9.9009900990099011E-3</v>
      </c>
    </row>
    <row r="428" spans="1:6" x14ac:dyDescent="0.35">
      <c r="B428" s="4" t="s">
        <v>35</v>
      </c>
      <c r="C428" s="3">
        <v>1</v>
      </c>
      <c r="D428" s="2">
        <v>0</v>
      </c>
      <c r="E428" s="2">
        <f t="shared" si="9"/>
        <v>1</v>
      </c>
      <c r="F428" s="9">
        <f t="shared" si="11"/>
        <v>4.9504950495049506E-3</v>
      </c>
    </row>
    <row r="429" spans="1:6" x14ac:dyDescent="0.35">
      <c r="B429" s="4" t="s">
        <v>288</v>
      </c>
      <c r="C429" s="3">
        <v>1</v>
      </c>
      <c r="D429" s="2">
        <v>0</v>
      </c>
      <c r="E429" s="2">
        <f t="shared" si="9"/>
        <v>1</v>
      </c>
      <c r="F429" s="9">
        <f t="shared" si="11"/>
        <v>4.9504950495049506E-3</v>
      </c>
    </row>
    <row r="430" spans="1:6" x14ac:dyDescent="0.35">
      <c r="B430" s="4" t="s">
        <v>298</v>
      </c>
      <c r="C430" s="3">
        <v>1</v>
      </c>
      <c r="D430" s="2">
        <v>0</v>
      </c>
      <c r="E430" s="2">
        <f t="shared" si="9"/>
        <v>1</v>
      </c>
      <c r="F430" s="9">
        <f t="shared" si="11"/>
        <v>4.9504950495049506E-3</v>
      </c>
    </row>
    <row r="431" spans="1:6" x14ac:dyDescent="0.35">
      <c r="B431" s="4" t="s">
        <v>245</v>
      </c>
      <c r="C431" s="3">
        <v>1</v>
      </c>
      <c r="D431" s="2">
        <v>0</v>
      </c>
      <c r="E431" s="2">
        <f t="shared" si="9"/>
        <v>1</v>
      </c>
      <c r="F431" s="9">
        <f t="shared" si="11"/>
        <v>4.9504950495049506E-3</v>
      </c>
    </row>
    <row r="432" spans="1:6" x14ac:dyDescent="0.35">
      <c r="B432" s="4" t="s">
        <v>287</v>
      </c>
      <c r="C432" s="3">
        <v>1</v>
      </c>
      <c r="D432" s="2">
        <v>1</v>
      </c>
      <c r="E432" s="2">
        <f t="shared" si="9"/>
        <v>2</v>
      </c>
      <c r="F432" s="9">
        <f t="shared" si="11"/>
        <v>9.9009900990099011E-3</v>
      </c>
    </row>
    <row r="433" spans="2:6" x14ac:dyDescent="0.35">
      <c r="B433" s="4" t="s">
        <v>403</v>
      </c>
      <c r="C433" s="3">
        <v>1</v>
      </c>
      <c r="D433" s="2">
        <v>0</v>
      </c>
      <c r="E433" s="2">
        <f t="shared" si="9"/>
        <v>1</v>
      </c>
      <c r="F433" s="9">
        <f t="shared" si="11"/>
        <v>4.9504950495049506E-3</v>
      </c>
    </row>
    <row r="434" spans="2:6" x14ac:dyDescent="0.35">
      <c r="B434" s="4" t="s">
        <v>400</v>
      </c>
      <c r="C434" s="3">
        <v>1</v>
      </c>
      <c r="D434" s="2">
        <v>0</v>
      </c>
      <c r="E434" s="2">
        <f t="shared" si="9"/>
        <v>1</v>
      </c>
      <c r="F434" s="9">
        <f t="shared" si="11"/>
        <v>4.9504950495049506E-3</v>
      </c>
    </row>
    <row r="435" spans="2:6" x14ac:dyDescent="0.35">
      <c r="B435" s="4" t="s">
        <v>341</v>
      </c>
      <c r="C435" s="3">
        <v>1</v>
      </c>
      <c r="D435" s="2">
        <v>0</v>
      </c>
      <c r="E435" s="2">
        <f t="shared" si="9"/>
        <v>1</v>
      </c>
      <c r="F435" s="9">
        <f t="shared" si="11"/>
        <v>4.9504950495049506E-3</v>
      </c>
    </row>
    <row r="436" spans="2:6" x14ac:dyDescent="0.35">
      <c r="B436" s="4" t="s">
        <v>109</v>
      </c>
      <c r="C436" s="3">
        <v>1</v>
      </c>
      <c r="D436" s="2">
        <v>0</v>
      </c>
      <c r="E436" s="2">
        <f t="shared" si="9"/>
        <v>1</v>
      </c>
      <c r="F436" s="9">
        <f t="shared" si="11"/>
        <v>4.9504950495049506E-3</v>
      </c>
    </row>
    <row r="437" spans="2:6" x14ac:dyDescent="0.35">
      <c r="B437" s="4" t="s">
        <v>344</v>
      </c>
      <c r="C437" s="3">
        <v>1</v>
      </c>
      <c r="D437" s="2">
        <v>0</v>
      </c>
      <c r="E437" s="2">
        <f t="shared" si="9"/>
        <v>1</v>
      </c>
      <c r="F437" s="9">
        <f t="shared" si="11"/>
        <v>4.9504950495049506E-3</v>
      </c>
    </row>
    <row r="438" spans="2:6" x14ac:dyDescent="0.35">
      <c r="B438" s="4" t="s">
        <v>302</v>
      </c>
      <c r="C438" s="3">
        <v>1</v>
      </c>
      <c r="D438" s="2">
        <v>0</v>
      </c>
      <c r="E438" s="2">
        <f t="shared" si="9"/>
        <v>1</v>
      </c>
      <c r="F438" s="9">
        <f t="shared" si="11"/>
        <v>4.9504950495049506E-3</v>
      </c>
    </row>
    <row r="439" spans="2:6" x14ac:dyDescent="0.35">
      <c r="B439" s="4" t="s">
        <v>129</v>
      </c>
      <c r="C439" s="3">
        <v>3</v>
      </c>
      <c r="D439" s="2">
        <v>0</v>
      </c>
      <c r="E439" s="2">
        <f t="shared" si="9"/>
        <v>3</v>
      </c>
      <c r="F439" s="9">
        <f t="shared" si="11"/>
        <v>1.4851485148514851E-2</v>
      </c>
    </row>
    <row r="440" spans="2:6" x14ac:dyDescent="0.35">
      <c r="B440" s="4" t="s">
        <v>267</v>
      </c>
      <c r="C440" s="3">
        <v>3</v>
      </c>
      <c r="D440" s="2">
        <v>0</v>
      </c>
      <c r="E440" s="2">
        <f t="shared" si="9"/>
        <v>3</v>
      </c>
      <c r="F440" s="9">
        <f t="shared" si="11"/>
        <v>1.4851485148514851E-2</v>
      </c>
    </row>
    <row r="441" spans="2:6" x14ac:dyDescent="0.35">
      <c r="B441" s="4" t="s">
        <v>68</v>
      </c>
      <c r="C441" s="3">
        <v>1</v>
      </c>
      <c r="D441" s="2">
        <v>1</v>
      </c>
      <c r="E441" s="2">
        <f t="shared" si="9"/>
        <v>2</v>
      </c>
      <c r="F441" s="9">
        <f t="shared" si="11"/>
        <v>9.9009900990099011E-3</v>
      </c>
    </row>
    <row r="442" spans="2:6" x14ac:dyDescent="0.35">
      <c r="B442" s="4" t="s">
        <v>365</v>
      </c>
      <c r="C442" s="3">
        <v>2</v>
      </c>
      <c r="D442" s="2">
        <v>0</v>
      </c>
      <c r="E442" s="2">
        <f t="shared" si="9"/>
        <v>2</v>
      </c>
      <c r="F442" s="9">
        <f t="shared" si="11"/>
        <v>9.9009900990099011E-3</v>
      </c>
    </row>
    <row r="443" spans="2:6" x14ac:dyDescent="0.35">
      <c r="B443" s="4" t="s">
        <v>366</v>
      </c>
      <c r="C443" s="3">
        <v>1</v>
      </c>
      <c r="D443" s="2">
        <v>0</v>
      </c>
      <c r="E443" s="2">
        <f t="shared" si="9"/>
        <v>1</v>
      </c>
      <c r="F443" s="9">
        <f t="shared" si="11"/>
        <v>4.9504950495049506E-3</v>
      </c>
    </row>
    <row r="444" spans="2:6" x14ac:dyDescent="0.35">
      <c r="B444" s="4" t="s">
        <v>85</v>
      </c>
      <c r="C444" s="3">
        <v>2</v>
      </c>
      <c r="D444" s="2">
        <v>0</v>
      </c>
      <c r="E444" s="2">
        <f t="shared" si="9"/>
        <v>2</v>
      </c>
      <c r="F444" s="9">
        <f t="shared" si="11"/>
        <v>9.9009900990099011E-3</v>
      </c>
    </row>
    <row r="445" spans="2:6" x14ac:dyDescent="0.35">
      <c r="B445" s="4" t="s">
        <v>131</v>
      </c>
      <c r="C445" s="3">
        <v>1</v>
      </c>
      <c r="D445" s="2">
        <v>1</v>
      </c>
      <c r="E445" s="2">
        <f t="shared" si="9"/>
        <v>2</v>
      </c>
      <c r="F445" s="9">
        <f t="shared" si="11"/>
        <v>9.9009900990099011E-3</v>
      </c>
    </row>
    <row r="446" spans="2:6" x14ac:dyDescent="0.35">
      <c r="B446" s="4" t="s">
        <v>119</v>
      </c>
      <c r="C446" s="3">
        <v>1</v>
      </c>
      <c r="D446" s="2">
        <v>0</v>
      </c>
      <c r="E446" s="2">
        <f t="shared" si="9"/>
        <v>1</v>
      </c>
      <c r="F446" s="9">
        <f t="shared" si="11"/>
        <v>4.9504950495049506E-3</v>
      </c>
    </row>
    <row r="447" spans="2:6" x14ac:dyDescent="0.35">
      <c r="B447" s="4" t="s">
        <v>173</v>
      </c>
      <c r="C447" s="3">
        <v>1</v>
      </c>
      <c r="D447" s="2">
        <v>0</v>
      </c>
      <c r="E447" s="2">
        <f t="shared" si="9"/>
        <v>1</v>
      </c>
      <c r="F447" s="9">
        <f t="shared" si="11"/>
        <v>4.9504950495049506E-3</v>
      </c>
    </row>
    <row r="448" spans="2:6" x14ac:dyDescent="0.35">
      <c r="B448" s="4" t="s">
        <v>244</v>
      </c>
      <c r="C448" s="3">
        <v>1</v>
      </c>
      <c r="D448" s="2">
        <v>0</v>
      </c>
      <c r="E448" s="2">
        <f t="shared" si="9"/>
        <v>1</v>
      </c>
      <c r="F448" s="9">
        <f t="shared" si="11"/>
        <v>4.9504950495049506E-3</v>
      </c>
    </row>
    <row r="449" spans="2:6" x14ac:dyDescent="0.35">
      <c r="B449" s="4" t="s">
        <v>263</v>
      </c>
      <c r="C449" s="3">
        <v>1</v>
      </c>
      <c r="D449" s="2">
        <v>0</v>
      </c>
      <c r="E449" s="2">
        <f t="shared" si="9"/>
        <v>1</v>
      </c>
      <c r="F449" s="9">
        <f t="shared" si="11"/>
        <v>4.9504950495049506E-3</v>
      </c>
    </row>
    <row r="450" spans="2:6" x14ac:dyDescent="0.35">
      <c r="B450" s="4" t="s">
        <v>301</v>
      </c>
      <c r="C450" s="3">
        <v>1</v>
      </c>
      <c r="D450" s="2">
        <v>1</v>
      </c>
      <c r="E450" s="2">
        <f t="shared" si="9"/>
        <v>2</v>
      </c>
      <c r="F450" s="9">
        <f t="shared" si="11"/>
        <v>9.9009900990099011E-3</v>
      </c>
    </row>
    <row r="451" spans="2:6" x14ac:dyDescent="0.35">
      <c r="B451" s="4" t="s">
        <v>276</v>
      </c>
      <c r="C451" s="3">
        <v>1</v>
      </c>
      <c r="D451" s="2">
        <v>0</v>
      </c>
      <c r="E451" s="2">
        <f t="shared" si="9"/>
        <v>1</v>
      </c>
      <c r="F451" s="9">
        <f t="shared" si="11"/>
        <v>4.9504950495049506E-3</v>
      </c>
    </row>
    <row r="452" spans="2:6" x14ac:dyDescent="0.35">
      <c r="B452" s="4" t="s">
        <v>165</v>
      </c>
      <c r="C452" s="3">
        <v>1</v>
      </c>
      <c r="D452" s="2">
        <v>0</v>
      </c>
      <c r="E452" s="2">
        <f t="shared" ref="E452:E515" si="12">C452+D452</f>
        <v>1</v>
      </c>
      <c r="F452" s="9">
        <f t="shared" si="11"/>
        <v>4.9504950495049506E-3</v>
      </c>
    </row>
    <row r="453" spans="2:6" x14ac:dyDescent="0.35">
      <c r="B453" s="4" t="s">
        <v>393</v>
      </c>
      <c r="C453" s="3">
        <v>1</v>
      </c>
      <c r="D453" s="2">
        <v>0</v>
      </c>
      <c r="E453" s="2">
        <f t="shared" si="12"/>
        <v>1</v>
      </c>
      <c r="F453" s="9">
        <f t="shared" si="11"/>
        <v>4.9504950495049506E-3</v>
      </c>
    </row>
    <row r="454" spans="2:6" x14ac:dyDescent="0.35">
      <c r="B454" s="4" t="s">
        <v>106</v>
      </c>
      <c r="C454" s="3">
        <v>1</v>
      </c>
      <c r="D454" s="2">
        <v>0</v>
      </c>
      <c r="E454" s="2">
        <f t="shared" si="12"/>
        <v>1</v>
      </c>
      <c r="F454" s="9">
        <f t="shared" si="11"/>
        <v>4.9504950495049506E-3</v>
      </c>
    </row>
    <row r="455" spans="2:6" x14ac:dyDescent="0.35">
      <c r="B455" s="4" t="s">
        <v>208</v>
      </c>
      <c r="C455" s="3">
        <v>2</v>
      </c>
      <c r="D455" s="2">
        <v>0</v>
      </c>
      <c r="E455" s="2">
        <f t="shared" si="12"/>
        <v>2</v>
      </c>
      <c r="F455" s="9">
        <f t="shared" si="11"/>
        <v>9.9009900990099011E-3</v>
      </c>
    </row>
    <row r="456" spans="2:6" x14ac:dyDescent="0.35">
      <c r="B456" s="4" t="s">
        <v>213</v>
      </c>
      <c r="C456" s="3">
        <v>3</v>
      </c>
      <c r="D456" s="2">
        <v>0</v>
      </c>
      <c r="E456" s="2">
        <f t="shared" si="12"/>
        <v>3</v>
      </c>
      <c r="F456" s="9">
        <f t="shared" si="11"/>
        <v>1.4851485148514851E-2</v>
      </c>
    </row>
    <row r="457" spans="2:6" x14ac:dyDescent="0.35">
      <c r="B457" s="4" t="s">
        <v>256</v>
      </c>
      <c r="C457" s="3">
        <v>1</v>
      </c>
      <c r="D457" s="2">
        <v>0</v>
      </c>
      <c r="E457" s="2">
        <f t="shared" si="12"/>
        <v>1</v>
      </c>
      <c r="F457" s="9">
        <f t="shared" si="11"/>
        <v>4.9504950495049506E-3</v>
      </c>
    </row>
    <row r="458" spans="2:6" x14ac:dyDescent="0.35">
      <c r="B458" s="4" t="s">
        <v>254</v>
      </c>
      <c r="C458" s="3">
        <v>1</v>
      </c>
      <c r="D458" s="2">
        <v>0</v>
      </c>
      <c r="E458" s="2">
        <f t="shared" si="12"/>
        <v>1</v>
      </c>
      <c r="F458" s="9">
        <f t="shared" si="11"/>
        <v>4.9504950495049506E-3</v>
      </c>
    </row>
    <row r="459" spans="2:6" x14ac:dyDescent="0.35">
      <c r="B459" s="4" t="s">
        <v>321</v>
      </c>
      <c r="C459" s="3">
        <v>1</v>
      </c>
      <c r="D459" s="2">
        <v>1</v>
      </c>
      <c r="E459" s="2">
        <f t="shared" si="12"/>
        <v>2</v>
      </c>
      <c r="F459" s="9">
        <f t="shared" si="11"/>
        <v>9.9009900990099011E-3</v>
      </c>
    </row>
    <row r="460" spans="2:6" x14ac:dyDescent="0.35">
      <c r="B460" s="4" t="s">
        <v>384</v>
      </c>
      <c r="C460" s="3">
        <v>1</v>
      </c>
      <c r="D460" s="2">
        <v>0</v>
      </c>
      <c r="E460" s="2">
        <f t="shared" si="12"/>
        <v>1</v>
      </c>
      <c r="F460" s="9">
        <f t="shared" si="11"/>
        <v>4.9504950495049506E-3</v>
      </c>
    </row>
    <row r="461" spans="2:6" x14ac:dyDescent="0.35">
      <c r="B461" s="4" t="s">
        <v>123</v>
      </c>
      <c r="C461" s="3">
        <v>1</v>
      </c>
      <c r="D461" s="2">
        <v>0</v>
      </c>
      <c r="E461" s="2">
        <f t="shared" si="12"/>
        <v>1</v>
      </c>
      <c r="F461" s="9">
        <f t="shared" si="11"/>
        <v>4.9504950495049506E-3</v>
      </c>
    </row>
    <row r="462" spans="2:6" x14ac:dyDescent="0.35">
      <c r="B462" s="4" t="s">
        <v>311</v>
      </c>
      <c r="C462" s="3">
        <v>1</v>
      </c>
      <c r="D462" s="2">
        <v>0</v>
      </c>
      <c r="E462" s="2">
        <f t="shared" si="12"/>
        <v>1</v>
      </c>
      <c r="F462" s="9">
        <f t="shared" si="11"/>
        <v>4.9504950495049506E-3</v>
      </c>
    </row>
    <row r="463" spans="2:6" x14ac:dyDescent="0.35">
      <c r="B463" s="4" t="s">
        <v>159</v>
      </c>
      <c r="C463" s="3">
        <v>2</v>
      </c>
      <c r="D463" s="2">
        <v>0</v>
      </c>
      <c r="E463" s="2">
        <f t="shared" si="12"/>
        <v>2</v>
      </c>
      <c r="F463" s="9">
        <f t="shared" si="11"/>
        <v>9.9009900990099011E-3</v>
      </c>
    </row>
    <row r="464" spans="2:6" x14ac:dyDescent="0.35">
      <c r="B464" s="4" t="s">
        <v>328</v>
      </c>
      <c r="C464" s="3">
        <v>3</v>
      </c>
      <c r="D464" s="2">
        <v>1</v>
      </c>
      <c r="E464" s="2">
        <f t="shared" si="12"/>
        <v>4</v>
      </c>
      <c r="F464" s="9">
        <f t="shared" si="11"/>
        <v>1.9801980198019802E-2</v>
      </c>
    </row>
    <row r="465" spans="2:6" x14ac:dyDescent="0.35">
      <c r="B465" s="4" t="s">
        <v>259</v>
      </c>
      <c r="C465" s="3">
        <v>2</v>
      </c>
      <c r="D465" s="2">
        <v>0</v>
      </c>
      <c r="E465" s="2">
        <f t="shared" si="12"/>
        <v>2</v>
      </c>
      <c r="F465" s="9">
        <f t="shared" si="11"/>
        <v>9.9009900990099011E-3</v>
      </c>
    </row>
    <row r="466" spans="2:6" x14ac:dyDescent="0.35">
      <c r="B466" s="4" t="s">
        <v>77</v>
      </c>
      <c r="C466" s="3">
        <v>1</v>
      </c>
      <c r="D466" s="2">
        <v>0</v>
      </c>
      <c r="E466" s="2">
        <f t="shared" si="12"/>
        <v>1</v>
      </c>
      <c r="F466" s="9">
        <f t="shared" si="11"/>
        <v>4.9504950495049506E-3</v>
      </c>
    </row>
    <row r="467" spans="2:6" x14ac:dyDescent="0.35">
      <c r="B467" s="4" t="s">
        <v>64</v>
      </c>
      <c r="C467" s="3">
        <v>1</v>
      </c>
      <c r="D467" s="2">
        <v>0</v>
      </c>
      <c r="E467" s="2">
        <f t="shared" si="12"/>
        <v>1</v>
      </c>
      <c r="F467" s="9">
        <f t="shared" si="11"/>
        <v>4.9504950495049506E-3</v>
      </c>
    </row>
    <row r="468" spans="2:6" x14ac:dyDescent="0.35">
      <c r="B468" s="4" t="s">
        <v>414</v>
      </c>
      <c r="C468" s="3">
        <v>1</v>
      </c>
      <c r="D468" s="2">
        <v>0</v>
      </c>
      <c r="E468" s="2">
        <f t="shared" si="12"/>
        <v>1</v>
      </c>
      <c r="F468" s="9">
        <f t="shared" si="11"/>
        <v>4.9504950495049506E-3</v>
      </c>
    </row>
    <row r="469" spans="2:6" x14ac:dyDescent="0.35">
      <c r="B469" s="4" t="s">
        <v>151</v>
      </c>
      <c r="C469" s="3">
        <v>1</v>
      </c>
      <c r="D469" s="2">
        <v>0</v>
      </c>
      <c r="E469" s="2">
        <f t="shared" si="12"/>
        <v>1</v>
      </c>
      <c r="F469" s="9">
        <f t="shared" si="11"/>
        <v>4.9504950495049506E-3</v>
      </c>
    </row>
    <row r="470" spans="2:6" x14ac:dyDescent="0.35">
      <c r="B470" s="4" t="s">
        <v>183</v>
      </c>
      <c r="C470" s="3">
        <v>2</v>
      </c>
      <c r="D470" s="2">
        <v>0</v>
      </c>
      <c r="E470" s="2">
        <f t="shared" si="12"/>
        <v>2</v>
      </c>
      <c r="F470" s="9">
        <f t="shared" si="11"/>
        <v>9.9009900990099011E-3</v>
      </c>
    </row>
    <row r="471" spans="2:6" x14ac:dyDescent="0.35">
      <c r="B471" s="4" t="s">
        <v>135</v>
      </c>
      <c r="C471" s="3">
        <v>1</v>
      </c>
      <c r="D471" s="2">
        <v>2</v>
      </c>
      <c r="E471" s="2">
        <f t="shared" si="12"/>
        <v>3</v>
      </c>
      <c r="F471" s="9">
        <f t="shared" si="11"/>
        <v>1.4851485148514851E-2</v>
      </c>
    </row>
    <row r="472" spans="2:6" x14ac:dyDescent="0.35">
      <c r="B472" s="4" t="s">
        <v>285</v>
      </c>
      <c r="C472" s="3">
        <v>1</v>
      </c>
      <c r="D472" s="2">
        <v>0</v>
      </c>
      <c r="E472" s="2">
        <f t="shared" si="12"/>
        <v>1</v>
      </c>
      <c r="F472" s="9">
        <f t="shared" si="11"/>
        <v>4.9504950495049506E-3</v>
      </c>
    </row>
    <row r="473" spans="2:6" x14ac:dyDescent="0.35">
      <c r="B473" s="4" t="s">
        <v>325</v>
      </c>
      <c r="C473" s="3">
        <v>1</v>
      </c>
      <c r="D473" s="2">
        <v>0</v>
      </c>
      <c r="E473" s="2">
        <f t="shared" si="12"/>
        <v>1</v>
      </c>
      <c r="F473" s="9">
        <f t="shared" si="11"/>
        <v>4.9504950495049506E-3</v>
      </c>
    </row>
    <row r="474" spans="2:6" x14ac:dyDescent="0.35">
      <c r="B474" s="4" t="s">
        <v>128</v>
      </c>
      <c r="C474" s="3">
        <v>1</v>
      </c>
      <c r="D474" s="2">
        <v>0</v>
      </c>
      <c r="E474" s="2">
        <f t="shared" si="12"/>
        <v>1</v>
      </c>
      <c r="F474" s="9">
        <f t="shared" si="11"/>
        <v>4.9504950495049506E-3</v>
      </c>
    </row>
    <row r="475" spans="2:6" x14ac:dyDescent="0.35">
      <c r="B475" s="4" t="s">
        <v>351</v>
      </c>
      <c r="C475" s="3">
        <v>1</v>
      </c>
      <c r="D475" s="2">
        <v>0</v>
      </c>
      <c r="E475" s="2">
        <f t="shared" si="12"/>
        <v>1</v>
      </c>
      <c r="F475" s="9">
        <f t="shared" si="11"/>
        <v>4.9504950495049506E-3</v>
      </c>
    </row>
    <row r="476" spans="2:6" x14ac:dyDescent="0.35">
      <c r="B476" s="4" t="s">
        <v>138</v>
      </c>
      <c r="C476" s="3">
        <v>1</v>
      </c>
      <c r="D476" s="2">
        <v>0</v>
      </c>
      <c r="E476" s="2">
        <f t="shared" si="12"/>
        <v>1</v>
      </c>
      <c r="F476" s="9">
        <f t="shared" si="11"/>
        <v>4.9504950495049506E-3</v>
      </c>
    </row>
    <row r="477" spans="2:6" x14ac:dyDescent="0.35">
      <c r="B477" s="4" t="s">
        <v>204</v>
      </c>
      <c r="C477" s="3">
        <v>1</v>
      </c>
      <c r="D477" s="2">
        <v>0</v>
      </c>
      <c r="E477" s="2">
        <f t="shared" si="12"/>
        <v>1</v>
      </c>
      <c r="F477" s="9">
        <f t="shared" si="11"/>
        <v>4.9504950495049506E-3</v>
      </c>
    </row>
    <row r="478" spans="2:6" x14ac:dyDescent="0.35">
      <c r="B478" s="4" t="s">
        <v>194</v>
      </c>
      <c r="C478" s="3">
        <v>1</v>
      </c>
      <c r="D478" s="2">
        <v>0</v>
      </c>
      <c r="E478" s="2">
        <f t="shared" si="12"/>
        <v>1</v>
      </c>
      <c r="F478" s="9">
        <f t="shared" si="11"/>
        <v>4.9504950495049506E-3</v>
      </c>
    </row>
    <row r="479" spans="2:6" x14ac:dyDescent="0.35">
      <c r="B479" s="4" t="s">
        <v>201</v>
      </c>
      <c r="C479" s="3">
        <v>2</v>
      </c>
      <c r="D479" s="2">
        <v>0</v>
      </c>
      <c r="E479" s="2">
        <f t="shared" si="12"/>
        <v>2</v>
      </c>
      <c r="F479" s="9">
        <f t="shared" si="11"/>
        <v>9.9009900990099011E-3</v>
      </c>
    </row>
    <row r="480" spans="2:6" x14ac:dyDescent="0.35">
      <c r="B480" s="4" t="s">
        <v>143</v>
      </c>
      <c r="C480" s="3">
        <v>3</v>
      </c>
      <c r="D480" s="2">
        <v>1</v>
      </c>
      <c r="E480" s="2">
        <f t="shared" si="12"/>
        <v>4</v>
      </c>
      <c r="F480" s="9">
        <f t="shared" si="11"/>
        <v>1.9801980198019802E-2</v>
      </c>
    </row>
    <row r="481" spans="2:6" x14ac:dyDescent="0.35">
      <c r="B481" s="4" t="s">
        <v>160</v>
      </c>
      <c r="C481" s="3">
        <v>3</v>
      </c>
      <c r="D481" s="2">
        <v>0</v>
      </c>
      <c r="E481" s="2">
        <f t="shared" si="12"/>
        <v>3</v>
      </c>
      <c r="F481" s="9">
        <f t="shared" si="11"/>
        <v>1.4851485148514851E-2</v>
      </c>
    </row>
    <row r="482" spans="2:6" x14ac:dyDescent="0.35">
      <c r="B482" s="4" t="s">
        <v>172</v>
      </c>
      <c r="C482" s="3">
        <v>1</v>
      </c>
      <c r="D482" s="2">
        <v>4</v>
      </c>
      <c r="E482" s="2">
        <f t="shared" si="12"/>
        <v>5</v>
      </c>
      <c r="F482" s="9">
        <f t="shared" si="11"/>
        <v>2.4752475247524754E-2</v>
      </c>
    </row>
    <row r="483" spans="2:6" x14ac:dyDescent="0.35">
      <c r="B483" s="4" t="s">
        <v>243</v>
      </c>
      <c r="C483" s="3">
        <v>1</v>
      </c>
      <c r="D483" s="2">
        <v>0</v>
      </c>
      <c r="E483" s="2">
        <f t="shared" si="12"/>
        <v>1</v>
      </c>
      <c r="F483" s="9">
        <f t="shared" si="11"/>
        <v>4.9504950495049506E-3</v>
      </c>
    </row>
    <row r="484" spans="2:6" x14ac:dyDescent="0.35">
      <c r="B484" s="4" t="s">
        <v>411</v>
      </c>
      <c r="C484" s="3">
        <v>2</v>
      </c>
      <c r="D484" s="2">
        <v>0</v>
      </c>
      <c r="E484" s="2">
        <f t="shared" si="12"/>
        <v>2</v>
      </c>
      <c r="F484" s="9">
        <f t="shared" ref="F484:F545" si="13">E484/202</f>
        <v>9.9009900990099011E-3</v>
      </c>
    </row>
    <row r="485" spans="2:6" x14ac:dyDescent="0.35">
      <c r="B485" s="4" t="s">
        <v>144</v>
      </c>
      <c r="C485" s="3">
        <v>1</v>
      </c>
      <c r="D485" s="2">
        <v>0</v>
      </c>
      <c r="E485" s="2">
        <f t="shared" si="12"/>
        <v>1</v>
      </c>
      <c r="F485" s="9">
        <f t="shared" si="13"/>
        <v>4.9504950495049506E-3</v>
      </c>
    </row>
    <row r="486" spans="2:6" x14ac:dyDescent="0.35">
      <c r="B486" s="4" t="s">
        <v>192</v>
      </c>
      <c r="C486" s="3">
        <v>1</v>
      </c>
      <c r="D486" s="2">
        <v>2</v>
      </c>
      <c r="E486" s="2">
        <f t="shared" si="12"/>
        <v>3</v>
      </c>
      <c r="F486" s="9">
        <f t="shared" si="13"/>
        <v>1.4851485148514851E-2</v>
      </c>
    </row>
    <row r="487" spans="2:6" x14ac:dyDescent="0.35">
      <c r="B487" s="4" t="s">
        <v>215</v>
      </c>
      <c r="C487" s="3">
        <v>1</v>
      </c>
      <c r="D487" s="2">
        <v>0</v>
      </c>
      <c r="E487" s="2">
        <f t="shared" si="12"/>
        <v>1</v>
      </c>
      <c r="F487" s="9">
        <f t="shared" si="13"/>
        <v>4.9504950495049506E-3</v>
      </c>
    </row>
    <row r="488" spans="2:6" x14ac:dyDescent="0.35">
      <c r="B488" s="4" t="s">
        <v>331</v>
      </c>
      <c r="C488" s="3">
        <v>1</v>
      </c>
      <c r="D488" s="2">
        <v>0</v>
      </c>
      <c r="E488" s="2">
        <f t="shared" si="12"/>
        <v>1</v>
      </c>
      <c r="F488" s="9">
        <f t="shared" si="13"/>
        <v>4.9504950495049506E-3</v>
      </c>
    </row>
    <row r="489" spans="2:6" x14ac:dyDescent="0.35">
      <c r="B489" s="4" t="s">
        <v>355</v>
      </c>
      <c r="C489" s="3">
        <v>1</v>
      </c>
      <c r="D489" s="2">
        <v>0</v>
      </c>
      <c r="E489" s="2">
        <f t="shared" si="12"/>
        <v>1</v>
      </c>
      <c r="F489" s="9">
        <f t="shared" si="13"/>
        <v>4.9504950495049506E-3</v>
      </c>
    </row>
    <row r="490" spans="2:6" x14ac:dyDescent="0.35">
      <c r="B490" s="4" t="s">
        <v>69</v>
      </c>
      <c r="C490" s="3">
        <v>1</v>
      </c>
      <c r="D490" s="2">
        <v>1</v>
      </c>
      <c r="E490" s="2">
        <f t="shared" si="12"/>
        <v>2</v>
      </c>
      <c r="F490" s="9">
        <f t="shared" si="13"/>
        <v>9.9009900990099011E-3</v>
      </c>
    </row>
    <row r="491" spans="2:6" x14ac:dyDescent="0.35">
      <c r="B491" s="4" t="s">
        <v>93</v>
      </c>
      <c r="C491" s="3">
        <v>1</v>
      </c>
      <c r="D491" s="2">
        <v>0</v>
      </c>
      <c r="E491" s="2">
        <f t="shared" si="12"/>
        <v>1</v>
      </c>
      <c r="F491" s="9">
        <f t="shared" si="13"/>
        <v>4.9504950495049506E-3</v>
      </c>
    </row>
    <row r="492" spans="2:6" x14ac:dyDescent="0.35">
      <c r="B492" s="4" t="s">
        <v>158</v>
      </c>
      <c r="C492" s="3">
        <v>1</v>
      </c>
      <c r="D492" s="2">
        <v>1</v>
      </c>
      <c r="E492" s="2">
        <f t="shared" si="12"/>
        <v>2</v>
      </c>
      <c r="F492" s="9">
        <f t="shared" si="13"/>
        <v>9.9009900990099011E-3</v>
      </c>
    </row>
    <row r="493" spans="2:6" x14ac:dyDescent="0.35">
      <c r="B493" s="4" t="s">
        <v>198</v>
      </c>
      <c r="C493" s="3">
        <v>2</v>
      </c>
      <c r="D493" s="2">
        <v>0</v>
      </c>
      <c r="E493" s="2">
        <f t="shared" si="12"/>
        <v>2</v>
      </c>
      <c r="F493" s="9">
        <f t="shared" si="13"/>
        <v>9.9009900990099011E-3</v>
      </c>
    </row>
    <row r="494" spans="2:6" x14ac:dyDescent="0.35">
      <c r="B494" s="4" t="s">
        <v>216</v>
      </c>
      <c r="C494" s="3">
        <v>1</v>
      </c>
      <c r="D494" s="2">
        <v>0</v>
      </c>
      <c r="E494" s="2">
        <f t="shared" si="12"/>
        <v>1</v>
      </c>
      <c r="F494" s="9">
        <f t="shared" si="13"/>
        <v>4.9504950495049506E-3</v>
      </c>
    </row>
    <row r="495" spans="2:6" x14ac:dyDescent="0.35">
      <c r="B495" s="4" t="s">
        <v>236</v>
      </c>
      <c r="C495" s="3">
        <v>1</v>
      </c>
      <c r="D495" s="2">
        <v>1</v>
      </c>
      <c r="E495" s="2">
        <f t="shared" si="12"/>
        <v>2</v>
      </c>
      <c r="F495" s="9">
        <f t="shared" si="13"/>
        <v>9.9009900990099011E-3</v>
      </c>
    </row>
    <row r="496" spans="2:6" x14ac:dyDescent="0.35">
      <c r="B496" s="4" t="s">
        <v>137</v>
      </c>
      <c r="C496" s="3">
        <v>2</v>
      </c>
      <c r="D496" s="2">
        <v>1</v>
      </c>
      <c r="E496" s="2">
        <f t="shared" si="12"/>
        <v>3</v>
      </c>
      <c r="F496" s="9">
        <f t="shared" si="13"/>
        <v>1.4851485148514851E-2</v>
      </c>
    </row>
    <row r="497" spans="2:6" x14ac:dyDescent="0.35">
      <c r="B497" s="4" t="s">
        <v>229</v>
      </c>
      <c r="C497" s="3">
        <v>1</v>
      </c>
      <c r="D497" s="2">
        <v>2</v>
      </c>
      <c r="E497" s="2">
        <f t="shared" si="12"/>
        <v>3</v>
      </c>
      <c r="F497" s="9">
        <f t="shared" si="13"/>
        <v>1.4851485148514851E-2</v>
      </c>
    </row>
    <row r="498" spans="2:6" x14ac:dyDescent="0.35">
      <c r="B498" s="4" t="s">
        <v>126</v>
      </c>
      <c r="C498" s="3">
        <v>5</v>
      </c>
      <c r="D498" s="2">
        <v>1</v>
      </c>
      <c r="E498" s="2">
        <f t="shared" si="12"/>
        <v>6</v>
      </c>
      <c r="F498" s="9">
        <f t="shared" si="13"/>
        <v>2.9702970297029702E-2</v>
      </c>
    </row>
    <row r="499" spans="2:6" x14ac:dyDescent="0.35">
      <c r="B499" s="4" t="s">
        <v>318</v>
      </c>
      <c r="C499" s="3">
        <v>2</v>
      </c>
      <c r="D499" s="2">
        <v>0</v>
      </c>
      <c r="E499" s="2">
        <f t="shared" si="12"/>
        <v>2</v>
      </c>
      <c r="F499" s="9">
        <f t="shared" si="13"/>
        <v>9.9009900990099011E-3</v>
      </c>
    </row>
    <row r="500" spans="2:6" x14ac:dyDescent="0.35">
      <c r="B500" s="4" t="s">
        <v>142</v>
      </c>
      <c r="C500" s="3">
        <v>1</v>
      </c>
      <c r="D500" s="2">
        <v>0</v>
      </c>
      <c r="E500" s="2">
        <f t="shared" si="12"/>
        <v>1</v>
      </c>
      <c r="F500" s="9">
        <f t="shared" si="13"/>
        <v>4.9504950495049506E-3</v>
      </c>
    </row>
    <row r="501" spans="2:6" x14ac:dyDescent="0.35">
      <c r="B501" s="4" t="s">
        <v>231</v>
      </c>
      <c r="C501" s="3">
        <v>2</v>
      </c>
      <c r="D501" s="2">
        <v>0</v>
      </c>
      <c r="E501" s="2">
        <f t="shared" si="12"/>
        <v>2</v>
      </c>
      <c r="F501" s="9">
        <f t="shared" si="13"/>
        <v>9.9009900990099011E-3</v>
      </c>
    </row>
    <row r="502" spans="2:6" x14ac:dyDescent="0.35">
      <c r="B502" s="4" t="s">
        <v>356</v>
      </c>
      <c r="C502" s="3">
        <v>1</v>
      </c>
      <c r="D502" s="2">
        <v>0</v>
      </c>
      <c r="E502" s="2">
        <f t="shared" si="12"/>
        <v>1</v>
      </c>
      <c r="F502" s="9">
        <f t="shared" si="13"/>
        <v>4.9504950495049506E-3</v>
      </c>
    </row>
    <row r="503" spans="2:6" x14ac:dyDescent="0.35">
      <c r="B503" s="4" t="s">
        <v>148</v>
      </c>
      <c r="C503" s="3">
        <v>1</v>
      </c>
      <c r="D503" s="2">
        <v>0</v>
      </c>
      <c r="E503" s="2">
        <f t="shared" si="12"/>
        <v>1</v>
      </c>
      <c r="F503" s="9">
        <f t="shared" si="13"/>
        <v>4.9504950495049506E-3</v>
      </c>
    </row>
    <row r="504" spans="2:6" x14ac:dyDescent="0.35">
      <c r="B504" s="4" t="s">
        <v>169</v>
      </c>
      <c r="C504" s="3">
        <v>1</v>
      </c>
      <c r="D504" s="2">
        <v>0</v>
      </c>
      <c r="E504" s="2">
        <f t="shared" si="12"/>
        <v>1</v>
      </c>
      <c r="F504" s="9">
        <f t="shared" si="13"/>
        <v>4.9504950495049506E-3</v>
      </c>
    </row>
    <row r="505" spans="2:6" x14ac:dyDescent="0.35">
      <c r="B505" s="4" t="s">
        <v>284</v>
      </c>
      <c r="C505" s="3">
        <v>2</v>
      </c>
      <c r="D505" s="2">
        <v>0</v>
      </c>
      <c r="E505" s="2">
        <f t="shared" si="12"/>
        <v>2</v>
      </c>
      <c r="F505" s="9">
        <f t="shared" si="13"/>
        <v>9.9009900990099011E-3</v>
      </c>
    </row>
    <row r="506" spans="2:6" x14ac:dyDescent="0.35">
      <c r="B506" s="4" t="s">
        <v>272</v>
      </c>
      <c r="C506" s="3">
        <v>1</v>
      </c>
      <c r="D506" s="2">
        <v>0</v>
      </c>
      <c r="E506" s="2">
        <f t="shared" si="12"/>
        <v>1</v>
      </c>
      <c r="F506" s="9">
        <f t="shared" si="13"/>
        <v>4.9504950495049506E-3</v>
      </c>
    </row>
    <row r="507" spans="2:6" x14ac:dyDescent="0.35">
      <c r="B507" s="4" t="s">
        <v>275</v>
      </c>
      <c r="C507" s="3">
        <v>1</v>
      </c>
      <c r="D507" s="2">
        <v>0</v>
      </c>
      <c r="E507" s="2">
        <f t="shared" si="12"/>
        <v>1</v>
      </c>
      <c r="F507" s="9">
        <f t="shared" si="13"/>
        <v>4.9504950495049506E-3</v>
      </c>
    </row>
    <row r="508" spans="2:6" x14ac:dyDescent="0.35">
      <c r="B508" s="4" t="s">
        <v>292</v>
      </c>
      <c r="C508" s="3">
        <v>2</v>
      </c>
      <c r="D508" s="2">
        <v>0</v>
      </c>
      <c r="E508" s="2">
        <f t="shared" si="12"/>
        <v>2</v>
      </c>
      <c r="F508" s="9">
        <f t="shared" si="13"/>
        <v>9.9009900990099011E-3</v>
      </c>
    </row>
    <row r="509" spans="2:6" x14ac:dyDescent="0.35">
      <c r="B509" s="4" t="s">
        <v>260</v>
      </c>
      <c r="C509" s="3">
        <v>1</v>
      </c>
      <c r="D509" s="2">
        <v>0</v>
      </c>
      <c r="E509" s="2">
        <f t="shared" si="12"/>
        <v>1</v>
      </c>
      <c r="F509" s="9">
        <f t="shared" si="13"/>
        <v>4.9504950495049506E-3</v>
      </c>
    </row>
    <row r="510" spans="2:6" x14ac:dyDescent="0.35">
      <c r="B510" s="4" t="s">
        <v>293</v>
      </c>
      <c r="C510" s="3">
        <v>2</v>
      </c>
      <c r="D510" s="2">
        <v>0</v>
      </c>
      <c r="E510" s="2">
        <f t="shared" si="12"/>
        <v>2</v>
      </c>
      <c r="F510" s="9">
        <f t="shared" si="13"/>
        <v>9.9009900990099011E-3</v>
      </c>
    </row>
    <row r="511" spans="2:6" x14ac:dyDescent="0.35">
      <c r="B511" s="4" t="s">
        <v>358</v>
      </c>
      <c r="C511" s="3">
        <v>1</v>
      </c>
      <c r="D511" s="2">
        <v>0</v>
      </c>
      <c r="E511" s="2">
        <f t="shared" si="12"/>
        <v>1</v>
      </c>
      <c r="F511" s="9">
        <f t="shared" si="13"/>
        <v>4.9504950495049506E-3</v>
      </c>
    </row>
    <row r="512" spans="2:6" x14ac:dyDescent="0.35">
      <c r="B512" s="4" t="s">
        <v>185</v>
      </c>
      <c r="C512" s="3">
        <v>2</v>
      </c>
      <c r="D512" s="2">
        <v>0</v>
      </c>
      <c r="E512" s="2">
        <f t="shared" si="12"/>
        <v>2</v>
      </c>
      <c r="F512" s="9">
        <f t="shared" si="13"/>
        <v>9.9009900990099011E-3</v>
      </c>
    </row>
    <row r="513" spans="2:6" x14ac:dyDescent="0.35">
      <c r="B513" s="4" t="s">
        <v>193</v>
      </c>
      <c r="C513" s="3">
        <v>1</v>
      </c>
      <c r="D513" s="2">
        <v>0</v>
      </c>
      <c r="E513" s="2">
        <f t="shared" si="12"/>
        <v>1</v>
      </c>
      <c r="F513" s="9">
        <f t="shared" si="13"/>
        <v>4.9504950495049506E-3</v>
      </c>
    </row>
    <row r="514" spans="2:6" x14ac:dyDescent="0.35">
      <c r="B514" s="4" t="s">
        <v>217</v>
      </c>
      <c r="C514" s="3">
        <v>1</v>
      </c>
      <c r="D514" s="2">
        <v>0</v>
      </c>
      <c r="E514" s="2">
        <f t="shared" si="12"/>
        <v>1</v>
      </c>
      <c r="F514" s="9">
        <f t="shared" si="13"/>
        <v>4.9504950495049506E-3</v>
      </c>
    </row>
    <row r="515" spans="2:6" x14ac:dyDescent="0.35">
      <c r="B515" s="4" t="s">
        <v>252</v>
      </c>
      <c r="C515" s="3">
        <v>2</v>
      </c>
      <c r="D515" s="2">
        <v>0</v>
      </c>
      <c r="E515" s="2">
        <f t="shared" si="12"/>
        <v>2</v>
      </c>
      <c r="F515" s="9">
        <f t="shared" si="13"/>
        <v>9.9009900990099011E-3</v>
      </c>
    </row>
    <row r="516" spans="2:6" x14ac:dyDescent="0.35">
      <c r="B516" s="4" t="s">
        <v>342</v>
      </c>
      <c r="C516" s="3">
        <v>1</v>
      </c>
      <c r="D516" s="2">
        <v>0</v>
      </c>
      <c r="E516" s="2">
        <f t="shared" ref="E516:E579" si="14">C516+D516</f>
        <v>1</v>
      </c>
      <c r="F516" s="9">
        <f t="shared" si="13"/>
        <v>4.9504950495049506E-3</v>
      </c>
    </row>
    <row r="517" spans="2:6" x14ac:dyDescent="0.35">
      <c r="B517" s="4" t="s">
        <v>205</v>
      </c>
      <c r="C517" s="3">
        <v>1</v>
      </c>
      <c r="D517" s="2">
        <v>0</v>
      </c>
      <c r="E517" s="2">
        <f t="shared" si="14"/>
        <v>1</v>
      </c>
      <c r="F517" s="9">
        <f t="shared" si="13"/>
        <v>4.9504950495049506E-3</v>
      </c>
    </row>
    <row r="518" spans="2:6" x14ac:dyDescent="0.35">
      <c r="B518" s="4" t="s">
        <v>330</v>
      </c>
      <c r="C518" s="3">
        <v>2</v>
      </c>
      <c r="D518" s="2">
        <v>0</v>
      </c>
      <c r="E518" s="2">
        <f t="shared" si="14"/>
        <v>2</v>
      </c>
      <c r="F518" s="9">
        <f t="shared" si="13"/>
        <v>9.9009900990099011E-3</v>
      </c>
    </row>
    <row r="519" spans="2:6" x14ac:dyDescent="0.35">
      <c r="B519" s="4" t="s">
        <v>170</v>
      </c>
      <c r="C519" s="3">
        <v>1</v>
      </c>
      <c r="D519" s="2">
        <v>0</v>
      </c>
      <c r="E519" s="2">
        <f t="shared" si="14"/>
        <v>1</v>
      </c>
      <c r="F519" s="9">
        <f t="shared" si="13"/>
        <v>4.9504950495049506E-3</v>
      </c>
    </row>
    <row r="520" spans="2:6" x14ac:dyDescent="0.35">
      <c r="B520" s="4" t="s">
        <v>399</v>
      </c>
      <c r="C520" s="3">
        <v>1</v>
      </c>
      <c r="D520" s="2">
        <v>0</v>
      </c>
      <c r="E520" s="2">
        <f t="shared" si="14"/>
        <v>1</v>
      </c>
      <c r="F520" s="9">
        <f t="shared" si="13"/>
        <v>4.9504950495049506E-3</v>
      </c>
    </row>
    <row r="521" spans="2:6" x14ac:dyDescent="0.35">
      <c r="B521" s="4" t="s">
        <v>314</v>
      </c>
      <c r="C521" s="3">
        <v>1</v>
      </c>
      <c r="D521" s="2">
        <v>0</v>
      </c>
      <c r="E521" s="2">
        <f t="shared" si="14"/>
        <v>1</v>
      </c>
      <c r="F521" s="9">
        <f t="shared" si="13"/>
        <v>4.9504950495049506E-3</v>
      </c>
    </row>
    <row r="522" spans="2:6" x14ac:dyDescent="0.35">
      <c r="B522" s="4" t="s">
        <v>240</v>
      </c>
      <c r="C522" s="3">
        <v>1</v>
      </c>
      <c r="D522" s="2">
        <v>0</v>
      </c>
      <c r="E522" s="2">
        <f t="shared" si="14"/>
        <v>1</v>
      </c>
      <c r="F522" s="9">
        <f t="shared" si="13"/>
        <v>4.9504950495049506E-3</v>
      </c>
    </row>
    <row r="523" spans="2:6" x14ac:dyDescent="0.35">
      <c r="B523" s="4" t="s">
        <v>66</v>
      </c>
      <c r="C523" s="3">
        <v>1</v>
      </c>
      <c r="D523" s="2">
        <v>0</v>
      </c>
      <c r="E523" s="2">
        <f t="shared" si="14"/>
        <v>1</v>
      </c>
      <c r="F523" s="9">
        <f t="shared" si="13"/>
        <v>4.9504950495049506E-3</v>
      </c>
    </row>
    <row r="524" spans="2:6" x14ac:dyDescent="0.35">
      <c r="B524" s="4" t="s">
        <v>87</v>
      </c>
      <c r="C524" s="3">
        <v>1</v>
      </c>
      <c r="D524" s="2">
        <v>1</v>
      </c>
      <c r="E524" s="2">
        <f t="shared" si="14"/>
        <v>2</v>
      </c>
      <c r="F524" s="9">
        <f t="shared" si="13"/>
        <v>9.9009900990099011E-3</v>
      </c>
    </row>
    <row r="525" spans="2:6" x14ac:dyDescent="0.35">
      <c r="B525" s="4" t="s">
        <v>303</v>
      </c>
      <c r="C525" s="3">
        <v>1</v>
      </c>
      <c r="D525" s="2">
        <v>0</v>
      </c>
      <c r="E525" s="2">
        <f t="shared" si="14"/>
        <v>1</v>
      </c>
      <c r="F525" s="9">
        <f t="shared" si="13"/>
        <v>4.9504950495049506E-3</v>
      </c>
    </row>
    <row r="526" spans="2:6" x14ac:dyDescent="0.35">
      <c r="B526" s="4" t="s">
        <v>103</v>
      </c>
      <c r="C526" s="3">
        <v>1</v>
      </c>
      <c r="D526" s="2">
        <v>0</v>
      </c>
      <c r="E526" s="2">
        <f t="shared" si="14"/>
        <v>1</v>
      </c>
      <c r="F526" s="9">
        <f t="shared" si="13"/>
        <v>4.9504950495049506E-3</v>
      </c>
    </row>
    <row r="527" spans="2:6" x14ac:dyDescent="0.35">
      <c r="B527" s="4" t="s">
        <v>157</v>
      </c>
      <c r="C527" s="3">
        <v>1</v>
      </c>
      <c r="D527" s="2">
        <v>0</v>
      </c>
      <c r="E527" s="2">
        <f t="shared" si="14"/>
        <v>1</v>
      </c>
      <c r="F527" s="9">
        <f t="shared" si="13"/>
        <v>4.9504950495049506E-3</v>
      </c>
    </row>
    <row r="528" spans="2:6" x14ac:dyDescent="0.35">
      <c r="B528" s="4" t="s">
        <v>360</v>
      </c>
      <c r="C528" s="3">
        <v>1</v>
      </c>
      <c r="D528" s="2">
        <v>0</v>
      </c>
      <c r="E528" s="2">
        <f t="shared" si="14"/>
        <v>1</v>
      </c>
      <c r="F528" s="9">
        <f t="shared" si="13"/>
        <v>4.9504950495049506E-3</v>
      </c>
    </row>
    <row r="529" spans="2:6" x14ac:dyDescent="0.35">
      <c r="B529" s="4" t="s">
        <v>182</v>
      </c>
      <c r="C529" s="3">
        <v>4</v>
      </c>
      <c r="D529" s="2">
        <v>0</v>
      </c>
      <c r="E529" s="2">
        <f t="shared" si="14"/>
        <v>4</v>
      </c>
      <c r="F529" s="9">
        <f t="shared" si="13"/>
        <v>1.9801980198019802E-2</v>
      </c>
    </row>
    <row r="530" spans="2:6" x14ac:dyDescent="0.35">
      <c r="B530" s="4" t="s">
        <v>282</v>
      </c>
      <c r="C530" s="3">
        <v>1</v>
      </c>
      <c r="D530" s="2">
        <v>0</v>
      </c>
      <c r="E530" s="2">
        <f t="shared" si="14"/>
        <v>1</v>
      </c>
      <c r="F530" s="9">
        <f t="shared" si="13"/>
        <v>4.9504950495049506E-3</v>
      </c>
    </row>
    <row r="531" spans="2:6" x14ac:dyDescent="0.35">
      <c r="B531" s="4" t="s">
        <v>310</v>
      </c>
      <c r="C531" s="3">
        <v>1</v>
      </c>
      <c r="D531" s="2">
        <v>0</v>
      </c>
      <c r="E531" s="2">
        <f t="shared" si="14"/>
        <v>1</v>
      </c>
      <c r="F531" s="9">
        <f t="shared" si="13"/>
        <v>4.9504950495049506E-3</v>
      </c>
    </row>
    <row r="532" spans="2:6" x14ac:dyDescent="0.35">
      <c r="B532" s="4" t="s">
        <v>228</v>
      </c>
      <c r="C532" s="3">
        <v>3</v>
      </c>
      <c r="D532" s="2">
        <v>0</v>
      </c>
      <c r="E532" s="2">
        <f t="shared" si="14"/>
        <v>3</v>
      </c>
      <c r="F532" s="9">
        <f t="shared" si="13"/>
        <v>1.4851485148514851E-2</v>
      </c>
    </row>
    <row r="533" spans="2:6" x14ac:dyDescent="0.35">
      <c r="B533" s="4" t="s">
        <v>232</v>
      </c>
      <c r="C533" s="3">
        <v>1</v>
      </c>
      <c r="D533" s="2">
        <v>0</v>
      </c>
      <c r="E533" s="2">
        <f t="shared" si="14"/>
        <v>1</v>
      </c>
      <c r="F533" s="9">
        <f t="shared" si="13"/>
        <v>4.9504950495049506E-3</v>
      </c>
    </row>
    <row r="534" spans="2:6" x14ac:dyDescent="0.35">
      <c r="B534" s="4" t="s">
        <v>290</v>
      </c>
      <c r="C534" s="3">
        <v>1</v>
      </c>
      <c r="D534" s="2">
        <v>0</v>
      </c>
      <c r="E534" s="2">
        <f t="shared" si="14"/>
        <v>1</v>
      </c>
      <c r="F534" s="9">
        <f t="shared" si="13"/>
        <v>4.9504950495049506E-3</v>
      </c>
    </row>
    <row r="535" spans="2:6" x14ac:dyDescent="0.35">
      <c r="B535" s="4" t="s">
        <v>17</v>
      </c>
      <c r="C535" s="3">
        <v>1</v>
      </c>
      <c r="D535" s="2">
        <v>1</v>
      </c>
      <c r="E535" s="2">
        <f t="shared" si="14"/>
        <v>2</v>
      </c>
      <c r="F535" s="9">
        <f t="shared" si="13"/>
        <v>9.9009900990099011E-3</v>
      </c>
    </row>
    <row r="536" spans="2:6" x14ac:dyDescent="0.35">
      <c r="B536" s="4" t="s">
        <v>307</v>
      </c>
      <c r="C536" s="3">
        <v>1</v>
      </c>
      <c r="D536" s="2">
        <v>0</v>
      </c>
      <c r="E536" s="2">
        <f t="shared" si="14"/>
        <v>1</v>
      </c>
      <c r="F536" s="9">
        <f t="shared" si="13"/>
        <v>4.9504950495049506E-3</v>
      </c>
    </row>
    <row r="537" spans="2:6" x14ac:dyDescent="0.35">
      <c r="B537" s="4" t="s">
        <v>312</v>
      </c>
      <c r="C537" s="3">
        <v>1</v>
      </c>
      <c r="D537" s="2">
        <v>0</v>
      </c>
      <c r="E537" s="2">
        <f t="shared" si="14"/>
        <v>1</v>
      </c>
      <c r="F537" s="9">
        <f t="shared" si="13"/>
        <v>4.9504950495049506E-3</v>
      </c>
    </row>
    <row r="538" spans="2:6" x14ac:dyDescent="0.35">
      <c r="B538" s="4" t="s">
        <v>186</v>
      </c>
      <c r="C538" s="3">
        <v>1</v>
      </c>
      <c r="D538" s="2">
        <v>0</v>
      </c>
      <c r="E538" s="2">
        <f t="shared" si="14"/>
        <v>1</v>
      </c>
      <c r="F538" s="9">
        <f t="shared" si="13"/>
        <v>4.9504950495049506E-3</v>
      </c>
    </row>
    <row r="539" spans="2:6" x14ac:dyDescent="0.35">
      <c r="B539" s="4" t="s">
        <v>124</v>
      </c>
      <c r="C539" s="3">
        <v>1</v>
      </c>
      <c r="D539" s="2">
        <v>0</v>
      </c>
      <c r="E539" s="2">
        <f t="shared" si="14"/>
        <v>1</v>
      </c>
      <c r="F539" s="9">
        <f t="shared" si="13"/>
        <v>4.9504950495049506E-3</v>
      </c>
    </row>
    <row r="540" spans="2:6" x14ac:dyDescent="0.35">
      <c r="B540" s="4" t="s">
        <v>70</v>
      </c>
      <c r="C540" s="3">
        <v>1</v>
      </c>
      <c r="D540" s="2">
        <v>0</v>
      </c>
      <c r="E540" s="2">
        <f t="shared" si="14"/>
        <v>1</v>
      </c>
      <c r="F540" s="9">
        <f t="shared" si="13"/>
        <v>4.9504950495049506E-3</v>
      </c>
    </row>
    <row r="541" spans="2:6" x14ac:dyDescent="0.35">
      <c r="B541" s="4" t="s">
        <v>273</v>
      </c>
      <c r="C541" s="3">
        <v>2</v>
      </c>
      <c r="D541" s="2">
        <v>0</v>
      </c>
      <c r="E541" s="2">
        <f t="shared" si="14"/>
        <v>2</v>
      </c>
      <c r="F541" s="9">
        <f t="shared" si="13"/>
        <v>9.9009900990099011E-3</v>
      </c>
    </row>
    <row r="542" spans="2:6" x14ac:dyDescent="0.35">
      <c r="B542" s="4" t="s">
        <v>248</v>
      </c>
      <c r="C542" s="3">
        <v>1</v>
      </c>
      <c r="D542" s="2">
        <v>0</v>
      </c>
      <c r="E542" s="2">
        <f t="shared" si="14"/>
        <v>1</v>
      </c>
      <c r="F542" s="9">
        <f t="shared" si="13"/>
        <v>4.9504950495049506E-3</v>
      </c>
    </row>
    <row r="543" spans="2:6" x14ac:dyDescent="0.35">
      <c r="B543" s="4" t="s">
        <v>230</v>
      </c>
      <c r="C543" s="3">
        <v>2</v>
      </c>
      <c r="D543" s="2">
        <v>0</v>
      </c>
      <c r="E543" s="2">
        <f t="shared" si="14"/>
        <v>2</v>
      </c>
      <c r="F543" s="9">
        <f t="shared" si="13"/>
        <v>9.9009900990099011E-3</v>
      </c>
    </row>
    <row r="544" spans="2:6" x14ac:dyDescent="0.35">
      <c r="B544" s="4" t="s">
        <v>125</v>
      </c>
      <c r="C544" s="3">
        <v>1</v>
      </c>
      <c r="D544" s="2">
        <v>0</v>
      </c>
      <c r="E544" s="2">
        <f t="shared" si="14"/>
        <v>1</v>
      </c>
      <c r="F544" s="9">
        <f t="shared" si="13"/>
        <v>4.9504950495049506E-3</v>
      </c>
    </row>
    <row r="545" spans="1:6" x14ac:dyDescent="0.35">
      <c r="B545" s="4" t="s">
        <v>90</v>
      </c>
      <c r="C545" s="3">
        <v>2</v>
      </c>
      <c r="D545" s="2">
        <v>3</v>
      </c>
      <c r="E545" s="2">
        <f t="shared" si="14"/>
        <v>5</v>
      </c>
      <c r="F545" s="9">
        <f t="shared" si="13"/>
        <v>2.4752475247524754E-2</v>
      </c>
    </row>
    <row r="546" spans="1:6" x14ac:dyDescent="0.35">
      <c r="A546" s="17" t="s">
        <v>425</v>
      </c>
      <c r="B546" s="12" t="s">
        <v>462</v>
      </c>
      <c r="C546" s="13">
        <f>SUM(C547:C675)</f>
        <v>191</v>
      </c>
      <c r="D546" s="13">
        <f t="shared" ref="D546:E546" si="15">SUM(D547:D675)</f>
        <v>27</v>
      </c>
      <c r="E546" s="13">
        <f t="shared" si="15"/>
        <v>218</v>
      </c>
      <c r="F546" s="12"/>
    </row>
    <row r="547" spans="1:6" x14ac:dyDescent="0.35">
      <c r="B547" s="4" t="s">
        <v>38</v>
      </c>
      <c r="C547" s="3">
        <v>1</v>
      </c>
      <c r="D547" s="2">
        <v>0</v>
      </c>
      <c r="E547" s="2">
        <f t="shared" si="14"/>
        <v>1</v>
      </c>
      <c r="F547" s="9">
        <v>4.5871559633027525E-3</v>
      </c>
    </row>
    <row r="548" spans="1:6" x14ac:dyDescent="0.35">
      <c r="B548" s="4" t="s">
        <v>41</v>
      </c>
      <c r="C548" s="3">
        <v>1</v>
      </c>
      <c r="D548" s="2">
        <v>1</v>
      </c>
      <c r="E548" s="2">
        <f t="shared" si="14"/>
        <v>2</v>
      </c>
      <c r="F548" s="9">
        <v>9.1743119266055051E-3</v>
      </c>
    </row>
    <row r="549" spans="1:6" x14ac:dyDescent="0.35">
      <c r="B549" s="4" t="s">
        <v>127</v>
      </c>
      <c r="C549" s="3">
        <v>1</v>
      </c>
      <c r="D549" s="2">
        <v>1</v>
      </c>
      <c r="E549" s="2">
        <f t="shared" si="14"/>
        <v>2</v>
      </c>
      <c r="F549" s="9">
        <v>9.1743119266055051E-3</v>
      </c>
    </row>
    <row r="550" spans="1:6" x14ac:dyDescent="0.35">
      <c r="B550" s="4" t="s">
        <v>350</v>
      </c>
      <c r="C550" s="3">
        <v>3</v>
      </c>
      <c r="D550" s="2">
        <v>0</v>
      </c>
      <c r="E550" s="2">
        <f t="shared" si="14"/>
        <v>3</v>
      </c>
      <c r="F550" s="9">
        <v>1.3761467889908258E-2</v>
      </c>
    </row>
    <row r="551" spans="1:6" x14ac:dyDescent="0.35">
      <c r="B551" s="4" t="s">
        <v>184</v>
      </c>
      <c r="C551" s="3">
        <v>1</v>
      </c>
      <c r="D551" s="2">
        <v>0</v>
      </c>
      <c r="E551" s="2">
        <f t="shared" si="14"/>
        <v>1</v>
      </c>
      <c r="F551" s="9">
        <v>4.5871559633027525E-3</v>
      </c>
    </row>
    <row r="552" spans="1:6" x14ac:dyDescent="0.35">
      <c r="B552" s="4" t="s">
        <v>161</v>
      </c>
      <c r="C552" s="3">
        <v>1</v>
      </c>
      <c r="D552" s="2">
        <v>0</v>
      </c>
      <c r="E552" s="2">
        <f t="shared" si="14"/>
        <v>1</v>
      </c>
      <c r="F552" s="9">
        <v>4.5871559633027525E-3</v>
      </c>
    </row>
    <row r="553" spans="1:6" x14ac:dyDescent="0.35">
      <c r="B553" s="4" t="s">
        <v>340</v>
      </c>
      <c r="C553" s="3">
        <v>3</v>
      </c>
      <c r="D553" s="2">
        <v>0</v>
      </c>
      <c r="E553" s="2">
        <f t="shared" si="14"/>
        <v>3</v>
      </c>
      <c r="F553" s="9">
        <v>1.3761467889908258E-2</v>
      </c>
    </row>
    <row r="554" spans="1:6" x14ac:dyDescent="0.35">
      <c r="B554" s="4" t="s">
        <v>218</v>
      </c>
      <c r="C554" s="3">
        <v>1</v>
      </c>
      <c r="D554" s="2">
        <v>1</v>
      </c>
      <c r="E554" s="2">
        <f t="shared" si="14"/>
        <v>2</v>
      </c>
      <c r="F554" s="9">
        <v>9.1743119266055051E-3</v>
      </c>
    </row>
    <row r="555" spans="1:6" x14ac:dyDescent="0.35">
      <c r="B555" s="4" t="s">
        <v>196</v>
      </c>
      <c r="C555" s="3">
        <v>5</v>
      </c>
      <c r="D555" s="2">
        <v>0</v>
      </c>
      <c r="E555" s="2">
        <f t="shared" si="14"/>
        <v>5</v>
      </c>
      <c r="F555" s="9">
        <v>2.2935779816513763E-2</v>
      </c>
    </row>
    <row r="556" spans="1:6" x14ac:dyDescent="0.35">
      <c r="B556" s="4" t="s">
        <v>288</v>
      </c>
      <c r="C556" s="3">
        <v>2</v>
      </c>
      <c r="D556" s="2">
        <v>0</v>
      </c>
      <c r="E556" s="2">
        <f t="shared" si="14"/>
        <v>2</v>
      </c>
      <c r="F556" s="9">
        <v>9.1743119266055051E-3</v>
      </c>
    </row>
    <row r="557" spans="1:6" x14ac:dyDescent="0.35">
      <c r="B557" s="4" t="s">
        <v>46</v>
      </c>
      <c r="C557" s="3">
        <v>1</v>
      </c>
      <c r="D557" s="2">
        <v>0</v>
      </c>
      <c r="E557" s="2">
        <f t="shared" si="14"/>
        <v>1</v>
      </c>
      <c r="F557" s="9">
        <v>4.5871559633027525E-3</v>
      </c>
    </row>
    <row r="558" spans="1:6" x14ac:dyDescent="0.35">
      <c r="B558" s="4" t="s">
        <v>287</v>
      </c>
      <c r="C558" s="3">
        <v>1</v>
      </c>
      <c r="D558" s="2">
        <v>0</v>
      </c>
      <c r="E558" s="2">
        <f t="shared" si="14"/>
        <v>1</v>
      </c>
      <c r="F558" s="9">
        <v>4.5871559633027525E-3</v>
      </c>
    </row>
    <row r="559" spans="1:6" x14ac:dyDescent="0.35">
      <c r="B559" s="4" t="s">
        <v>109</v>
      </c>
      <c r="C559" s="3">
        <v>4</v>
      </c>
      <c r="D559" s="2">
        <v>0</v>
      </c>
      <c r="E559" s="2">
        <f t="shared" si="14"/>
        <v>4</v>
      </c>
      <c r="F559" s="9">
        <v>1.834862385321101E-2</v>
      </c>
    </row>
    <row r="560" spans="1:6" x14ac:dyDescent="0.35">
      <c r="B560" s="4" t="s">
        <v>302</v>
      </c>
      <c r="C560" s="3">
        <v>1</v>
      </c>
      <c r="D560" s="2">
        <v>0</v>
      </c>
      <c r="E560" s="2">
        <f t="shared" si="14"/>
        <v>1</v>
      </c>
      <c r="F560" s="9">
        <v>4.5871559633027525E-3</v>
      </c>
    </row>
    <row r="561" spans="2:6" x14ac:dyDescent="0.35">
      <c r="B561" s="4" t="s">
        <v>347</v>
      </c>
      <c r="C561" s="3">
        <v>1</v>
      </c>
      <c r="D561" s="2">
        <v>0</v>
      </c>
      <c r="E561" s="2">
        <f t="shared" si="14"/>
        <v>1</v>
      </c>
      <c r="F561" s="9">
        <v>4.5871559633027525E-3</v>
      </c>
    </row>
    <row r="562" spans="2:6" x14ac:dyDescent="0.35">
      <c r="B562" s="4" t="s">
        <v>222</v>
      </c>
      <c r="C562" s="3">
        <v>1</v>
      </c>
      <c r="D562" s="2">
        <v>0</v>
      </c>
      <c r="E562" s="2">
        <f t="shared" si="14"/>
        <v>1</v>
      </c>
      <c r="F562" s="9">
        <v>4.5871559633027525E-3</v>
      </c>
    </row>
    <row r="563" spans="2:6" x14ac:dyDescent="0.35">
      <c r="B563" s="4" t="s">
        <v>299</v>
      </c>
      <c r="C563" s="3">
        <v>1</v>
      </c>
      <c r="D563" s="2">
        <v>1</v>
      </c>
      <c r="E563" s="2">
        <f t="shared" si="14"/>
        <v>2</v>
      </c>
      <c r="F563" s="9">
        <v>9.1743119266055051E-3</v>
      </c>
    </row>
    <row r="564" spans="2:6" x14ac:dyDescent="0.35">
      <c r="B564" s="4" t="s">
        <v>378</v>
      </c>
      <c r="C564" s="3">
        <v>3</v>
      </c>
      <c r="D564" s="2">
        <v>0</v>
      </c>
      <c r="E564" s="2">
        <f t="shared" si="14"/>
        <v>3</v>
      </c>
      <c r="F564" s="9">
        <v>1.3761467889908258E-2</v>
      </c>
    </row>
    <row r="565" spans="2:6" x14ac:dyDescent="0.35">
      <c r="B565" s="4" t="s">
        <v>250</v>
      </c>
      <c r="C565" s="3">
        <v>3</v>
      </c>
      <c r="D565" s="2">
        <v>0</v>
      </c>
      <c r="E565" s="2">
        <f t="shared" si="14"/>
        <v>3</v>
      </c>
      <c r="F565" s="9">
        <v>1.3761467889908258E-2</v>
      </c>
    </row>
    <row r="566" spans="2:6" x14ac:dyDescent="0.35">
      <c r="B566" s="4" t="s">
        <v>129</v>
      </c>
      <c r="C566" s="3">
        <v>3</v>
      </c>
      <c r="D566" s="2">
        <v>2</v>
      </c>
      <c r="E566" s="2">
        <f t="shared" si="14"/>
        <v>5</v>
      </c>
      <c r="F566" s="9">
        <v>2.2935779816513763E-2</v>
      </c>
    </row>
    <row r="567" spans="2:6" x14ac:dyDescent="0.35">
      <c r="B567" s="4" t="s">
        <v>267</v>
      </c>
      <c r="C567" s="3">
        <v>1</v>
      </c>
      <c r="D567" s="2">
        <v>0</v>
      </c>
      <c r="E567" s="2">
        <f t="shared" si="14"/>
        <v>1</v>
      </c>
      <c r="F567" s="9">
        <v>4.5871559633027525E-3</v>
      </c>
    </row>
    <row r="568" spans="2:6" x14ac:dyDescent="0.35">
      <c r="B568" s="4" t="s">
        <v>209</v>
      </c>
      <c r="C568" s="3">
        <v>2</v>
      </c>
      <c r="D568" s="2">
        <v>0</v>
      </c>
      <c r="E568" s="2">
        <f t="shared" si="14"/>
        <v>2</v>
      </c>
      <c r="F568" s="9">
        <v>9.1743119266055051E-3</v>
      </c>
    </row>
    <row r="569" spans="2:6" x14ac:dyDescent="0.35">
      <c r="B569" s="4" t="s">
        <v>329</v>
      </c>
      <c r="C569" s="3">
        <v>1</v>
      </c>
      <c r="D569" s="2">
        <v>0</v>
      </c>
      <c r="E569" s="2">
        <f t="shared" si="14"/>
        <v>1</v>
      </c>
      <c r="F569" s="9">
        <v>4.5871559633027525E-3</v>
      </c>
    </row>
    <row r="570" spans="2:6" x14ac:dyDescent="0.35">
      <c r="B570" s="4" t="s">
        <v>365</v>
      </c>
      <c r="C570" s="3">
        <v>1</v>
      </c>
      <c r="D570" s="2">
        <v>0</v>
      </c>
      <c r="E570" s="2">
        <f t="shared" si="14"/>
        <v>1</v>
      </c>
      <c r="F570" s="9">
        <v>4.5871559633027525E-3</v>
      </c>
    </row>
    <row r="571" spans="2:6" x14ac:dyDescent="0.35">
      <c r="B571" s="4" t="s">
        <v>85</v>
      </c>
      <c r="C571" s="3">
        <v>1</v>
      </c>
      <c r="D571" s="2">
        <v>0</v>
      </c>
      <c r="E571" s="2">
        <f t="shared" si="14"/>
        <v>1</v>
      </c>
      <c r="F571" s="9">
        <v>4.5871559633027525E-3</v>
      </c>
    </row>
    <row r="572" spans="2:6" x14ac:dyDescent="0.35">
      <c r="B572" s="4" t="s">
        <v>345</v>
      </c>
      <c r="C572" s="3">
        <v>1</v>
      </c>
      <c r="D572" s="2">
        <v>0</v>
      </c>
      <c r="E572" s="2">
        <f t="shared" si="14"/>
        <v>1</v>
      </c>
      <c r="F572" s="9">
        <v>4.5871559633027525E-3</v>
      </c>
    </row>
    <row r="573" spans="2:6" x14ac:dyDescent="0.35">
      <c r="B573" s="4" t="s">
        <v>220</v>
      </c>
      <c r="C573" s="3">
        <v>1</v>
      </c>
      <c r="D573" s="2">
        <v>0</v>
      </c>
      <c r="E573" s="2">
        <f t="shared" si="14"/>
        <v>1</v>
      </c>
      <c r="F573" s="9">
        <v>4.5871559633027525E-3</v>
      </c>
    </row>
    <row r="574" spans="2:6" x14ac:dyDescent="0.35">
      <c r="B574" s="4" t="s">
        <v>119</v>
      </c>
      <c r="C574" s="3">
        <v>1</v>
      </c>
      <c r="D574" s="2">
        <v>0</v>
      </c>
      <c r="E574" s="2">
        <f t="shared" si="14"/>
        <v>1</v>
      </c>
      <c r="F574" s="9">
        <v>4.5871559633027525E-3</v>
      </c>
    </row>
    <row r="575" spans="2:6" x14ac:dyDescent="0.35">
      <c r="B575" s="4" t="s">
        <v>173</v>
      </c>
      <c r="C575" s="3">
        <v>1</v>
      </c>
      <c r="D575" s="2">
        <v>0</v>
      </c>
      <c r="E575" s="2">
        <f t="shared" si="14"/>
        <v>1</v>
      </c>
      <c r="F575" s="9">
        <v>4.5871559633027525E-3</v>
      </c>
    </row>
    <row r="576" spans="2:6" x14ac:dyDescent="0.35">
      <c r="B576" s="4" t="s">
        <v>244</v>
      </c>
      <c r="C576" s="3">
        <v>1</v>
      </c>
      <c r="D576" s="2">
        <v>0</v>
      </c>
      <c r="E576" s="2">
        <f t="shared" si="14"/>
        <v>1</v>
      </c>
      <c r="F576" s="9">
        <v>4.5871559633027525E-3</v>
      </c>
    </row>
    <row r="577" spans="2:6" x14ac:dyDescent="0.35">
      <c r="B577" s="4" t="s">
        <v>276</v>
      </c>
      <c r="C577" s="3">
        <v>2</v>
      </c>
      <c r="D577" s="2">
        <v>0</v>
      </c>
      <c r="E577" s="2">
        <f t="shared" si="14"/>
        <v>2</v>
      </c>
      <c r="F577" s="9">
        <v>9.1743119266055051E-3</v>
      </c>
    </row>
    <row r="578" spans="2:6" x14ac:dyDescent="0.35">
      <c r="B578" s="4" t="s">
        <v>337</v>
      </c>
      <c r="C578" s="3">
        <v>1</v>
      </c>
      <c r="D578" s="2">
        <v>0</v>
      </c>
      <c r="E578" s="2">
        <f t="shared" si="14"/>
        <v>1</v>
      </c>
      <c r="F578" s="9">
        <v>4.5871559633027525E-3</v>
      </c>
    </row>
    <row r="579" spans="2:6" x14ac:dyDescent="0.35">
      <c r="B579" s="4" t="s">
        <v>165</v>
      </c>
      <c r="C579" s="3">
        <v>1</v>
      </c>
      <c r="D579" s="2">
        <v>0</v>
      </c>
      <c r="E579" s="2">
        <f t="shared" si="14"/>
        <v>1</v>
      </c>
      <c r="F579" s="9">
        <v>4.5871559633027525E-3</v>
      </c>
    </row>
    <row r="580" spans="2:6" x14ac:dyDescent="0.35">
      <c r="B580" s="4" t="s">
        <v>32</v>
      </c>
      <c r="C580" s="3">
        <v>1</v>
      </c>
      <c r="D580" s="2">
        <v>0</v>
      </c>
      <c r="E580" s="2">
        <f t="shared" ref="E580:E643" si="16">C580+D580</f>
        <v>1</v>
      </c>
      <c r="F580" s="9">
        <v>4.5871559633027525E-3</v>
      </c>
    </row>
    <row r="581" spans="2:6" x14ac:dyDescent="0.35">
      <c r="B581" s="4" t="s">
        <v>106</v>
      </c>
      <c r="C581" s="3">
        <v>1</v>
      </c>
      <c r="D581" s="2">
        <v>0</v>
      </c>
      <c r="E581" s="2">
        <f t="shared" si="16"/>
        <v>1</v>
      </c>
      <c r="F581" s="9">
        <v>4.5871559633027525E-3</v>
      </c>
    </row>
    <row r="582" spans="2:6" x14ac:dyDescent="0.35">
      <c r="B582" s="4" t="s">
        <v>208</v>
      </c>
      <c r="C582" s="3">
        <v>1</v>
      </c>
      <c r="D582" s="2">
        <v>1</v>
      </c>
      <c r="E582" s="2">
        <f t="shared" si="16"/>
        <v>2</v>
      </c>
      <c r="F582" s="9">
        <v>9.1743119266055051E-3</v>
      </c>
    </row>
    <row r="583" spans="2:6" x14ac:dyDescent="0.35">
      <c r="B583" s="4" t="s">
        <v>213</v>
      </c>
      <c r="C583" s="3">
        <v>3</v>
      </c>
      <c r="D583" s="2">
        <v>0</v>
      </c>
      <c r="E583" s="2">
        <f t="shared" si="16"/>
        <v>3</v>
      </c>
      <c r="F583" s="9">
        <v>1.3761467889908258E-2</v>
      </c>
    </row>
    <row r="584" spans="2:6" x14ac:dyDescent="0.35">
      <c r="B584" s="4" t="s">
        <v>256</v>
      </c>
      <c r="C584" s="3">
        <v>1</v>
      </c>
      <c r="D584" s="2">
        <v>0</v>
      </c>
      <c r="E584" s="2">
        <f t="shared" si="16"/>
        <v>1</v>
      </c>
      <c r="F584" s="9">
        <v>4.5871559633027525E-3</v>
      </c>
    </row>
    <row r="585" spans="2:6" x14ac:dyDescent="0.35">
      <c r="B585" s="4" t="s">
        <v>254</v>
      </c>
      <c r="C585" s="3">
        <v>2</v>
      </c>
      <c r="D585" s="2">
        <v>0</v>
      </c>
      <c r="E585" s="2">
        <f t="shared" si="16"/>
        <v>2</v>
      </c>
      <c r="F585" s="9">
        <v>9.1743119266055051E-3</v>
      </c>
    </row>
    <row r="586" spans="2:6" x14ac:dyDescent="0.35">
      <c r="B586" s="4" t="s">
        <v>321</v>
      </c>
      <c r="C586" s="3">
        <v>1</v>
      </c>
      <c r="D586" s="2">
        <v>0</v>
      </c>
      <c r="E586" s="2">
        <f t="shared" si="16"/>
        <v>1</v>
      </c>
      <c r="F586" s="9">
        <v>4.5871559633027525E-3</v>
      </c>
    </row>
    <row r="587" spans="2:6" x14ac:dyDescent="0.35">
      <c r="B587" s="4" t="s">
        <v>92</v>
      </c>
      <c r="C587" s="3">
        <v>1</v>
      </c>
      <c r="D587" s="2">
        <v>1</v>
      </c>
      <c r="E587" s="2">
        <f t="shared" si="16"/>
        <v>2</v>
      </c>
      <c r="F587" s="9">
        <v>9.1743119266055051E-3</v>
      </c>
    </row>
    <row r="588" spans="2:6" x14ac:dyDescent="0.35">
      <c r="B588" s="4" t="s">
        <v>384</v>
      </c>
      <c r="C588" s="3">
        <v>1</v>
      </c>
      <c r="D588" s="2">
        <v>0</v>
      </c>
      <c r="E588" s="2">
        <f t="shared" si="16"/>
        <v>1</v>
      </c>
      <c r="F588" s="9">
        <v>4.5871559633027525E-3</v>
      </c>
    </row>
    <row r="589" spans="2:6" x14ac:dyDescent="0.35">
      <c r="B589" s="4" t="s">
        <v>88</v>
      </c>
      <c r="C589" s="3">
        <v>1</v>
      </c>
      <c r="D589" s="2">
        <v>0</v>
      </c>
      <c r="E589" s="2">
        <f t="shared" si="16"/>
        <v>1</v>
      </c>
      <c r="F589" s="9">
        <v>4.5871559633027525E-3</v>
      </c>
    </row>
    <row r="590" spans="2:6" x14ac:dyDescent="0.35">
      <c r="B590" s="4" t="s">
        <v>311</v>
      </c>
      <c r="C590" s="3">
        <v>1</v>
      </c>
      <c r="D590" s="2">
        <v>0</v>
      </c>
      <c r="E590" s="2">
        <f t="shared" si="16"/>
        <v>1</v>
      </c>
      <c r="F590" s="9">
        <v>4.5871559633027525E-3</v>
      </c>
    </row>
    <row r="591" spans="2:6" x14ac:dyDescent="0.35">
      <c r="B591" s="4" t="s">
        <v>235</v>
      </c>
      <c r="C591" s="3">
        <v>4</v>
      </c>
      <c r="D591" s="2">
        <v>0</v>
      </c>
      <c r="E591" s="2">
        <f t="shared" si="16"/>
        <v>4</v>
      </c>
      <c r="F591" s="9">
        <v>1.834862385321101E-2</v>
      </c>
    </row>
    <row r="592" spans="2:6" x14ac:dyDescent="0.35">
      <c r="B592" s="4" t="s">
        <v>313</v>
      </c>
      <c r="C592" s="3">
        <v>1</v>
      </c>
      <c r="D592" s="2">
        <v>2</v>
      </c>
      <c r="E592" s="2">
        <f t="shared" si="16"/>
        <v>3</v>
      </c>
      <c r="F592" s="9">
        <v>1.3761467889908258E-2</v>
      </c>
    </row>
    <row r="593" spans="2:6" x14ac:dyDescent="0.35">
      <c r="B593" s="4" t="s">
        <v>159</v>
      </c>
      <c r="C593" s="3">
        <v>4</v>
      </c>
      <c r="D593" s="2">
        <v>2</v>
      </c>
      <c r="E593" s="2">
        <f t="shared" si="16"/>
        <v>6</v>
      </c>
      <c r="F593" s="9">
        <v>2.7522935779816515E-2</v>
      </c>
    </row>
    <row r="594" spans="2:6" x14ac:dyDescent="0.35">
      <c r="B594" s="4" t="s">
        <v>268</v>
      </c>
      <c r="C594" s="3">
        <v>1</v>
      </c>
      <c r="D594" s="2">
        <v>1</v>
      </c>
      <c r="E594" s="2">
        <f t="shared" si="16"/>
        <v>2</v>
      </c>
      <c r="F594" s="9">
        <v>9.1743119266055051E-3</v>
      </c>
    </row>
    <row r="595" spans="2:6" x14ac:dyDescent="0.35">
      <c r="B595" s="4" t="s">
        <v>253</v>
      </c>
      <c r="C595" s="3">
        <v>1</v>
      </c>
      <c r="D595" s="2">
        <v>1</v>
      </c>
      <c r="E595" s="2">
        <f t="shared" si="16"/>
        <v>2</v>
      </c>
      <c r="F595" s="9">
        <v>9.1743119266055051E-3</v>
      </c>
    </row>
    <row r="596" spans="2:6" x14ac:dyDescent="0.35">
      <c r="B596" s="4" t="s">
        <v>328</v>
      </c>
      <c r="C596" s="3">
        <v>1</v>
      </c>
      <c r="D596" s="2">
        <v>0</v>
      </c>
      <c r="E596" s="2">
        <f t="shared" si="16"/>
        <v>1</v>
      </c>
      <c r="F596" s="9">
        <v>4.5871559633027525E-3</v>
      </c>
    </row>
    <row r="597" spans="2:6" x14ac:dyDescent="0.35">
      <c r="B597" s="4" t="s">
        <v>335</v>
      </c>
      <c r="C597" s="3">
        <v>1</v>
      </c>
      <c r="D597" s="2">
        <v>0</v>
      </c>
      <c r="E597" s="2">
        <f t="shared" si="16"/>
        <v>1</v>
      </c>
      <c r="F597" s="9">
        <v>4.5871559633027525E-3</v>
      </c>
    </row>
    <row r="598" spans="2:6" x14ac:dyDescent="0.35">
      <c r="B598" s="4" t="s">
        <v>77</v>
      </c>
      <c r="C598" s="3">
        <v>1</v>
      </c>
      <c r="D598" s="2">
        <v>0</v>
      </c>
      <c r="E598" s="2">
        <f t="shared" si="16"/>
        <v>1</v>
      </c>
      <c r="F598" s="9">
        <v>4.5871559633027525E-3</v>
      </c>
    </row>
    <row r="599" spans="2:6" x14ac:dyDescent="0.35">
      <c r="B599" s="4" t="s">
        <v>64</v>
      </c>
      <c r="C599" s="3">
        <v>1</v>
      </c>
      <c r="D599" s="2">
        <v>0</v>
      </c>
      <c r="E599" s="2">
        <f t="shared" si="16"/>
        <v>1</v>
      </c>
      <c r="F599" s="9">
        <v>4.5871559633027525E-3</v>
      </c>
    </row>
    <row r="600" spans="2:6" x14ac:dyDescent="0.35">
      <c r="B600" s="4" t="s">
        <v>413</v>
      </c>
      <c r="C600" s="3">
        <v>1</v>
      </c>
      <c r="D600" s="2">
        <v>0</v>
      </c>
      <c r="E600" s="2">
        <f t="shared" si="16"/>
        <v>1</v>
      </c>
      <c r="F600" s="9">
        <v>4.5871559633027525E-3</v>
      </c>
    </row>
    <row r="601" spans="2:6" x14ac:dyDescent="0.35">
      <c r="B601" s="4" t="s">
        <v>151</v>
      </c>
      <c r="C601" s="3">
        <v>1</v>
      </c>
      <c r="D601" s="2">
        <v>0</v>
      </c>
      <c r="E601" s="2">
        <f t="shared" si="16"/>
        <v>1</v>
      </c>
      <c r="F601" s="9">
        <v>4.5871559633027525E-3</v>
      </c>
    </row>
    <row r="602" spans="2:6" x14ac:dyDescent="0.35">
      <c r="B602" s="4" t="s">
        <v>348</v>
      </c>
      <c r="C602" s="3">
        <v>1</v>
      </c>
      <c r="D602" s="2">
        <v>0</v>
      </c>
      <c r="E602" s="2">
        <f t="shared" si="16"/>
        <v>1</v>
      </c>
      <c r="F602" s="9">
        <v>4.5871559633027525E-3</v>
      </c>
    </row>
    <row r="603" spans="2:6" x14ac:dyDescent="0.35">
      <c r="B603" s="4" t="s">
        <v>183</v>
      </c>
      <c r="C603" s="3">
        <v>1</v>
      </c>
      <c r="D603" s="2">
        <v>0</v>
      </c>
      <c r="E603" s="2">
        <f t="shared" si="16"/>
        <v>1</v>
      </c>
      <c r="F603" s="9">
        <v>4.5871559633027525E-3</v>
      </c>
    </row>
    <row r="604" spans="2:6" x14ac:dyDescent="0.35">
      <c r="B604" s="4" t="s">
        <v>387</v>
      </c>
      <c r="C604" s="3">
        <v>1</v>
      </c>
      <c r="D604" s="2">
        <v>0</v>
      </c>
      <c r="E604" s="2">
        <f t="shared" si="16"/>
        <v>1</v>
      </c>
      <c r="F604" s="9">
        <v>4.5871559633027525E-3</v>
      </c>
    </row>
    <row r="605" spans="2:6" x14ac:dyDescent="0.35">
      <c r="B605" s="4" t="s">
        <v>289</v>
      </c>
      <c r="C605" s="3">
        <v>2</v>
      </c>
      <c r="D605" s="2">
        <v>1</v>
      </c>
      <c r="E605" s="2">
        <f t="shared" si="16"/>
        <v>3</v>
      </c>
      <c r="F605" s="9">
        <v>1.3761467889908258E-2</v>
      </c>
    </row>
    <row r="606" spans="2:6" x14ac:dyDescent="0.35">
      <c r="B606" s="4" t="s">
        <v>130</v>
      </c>
      <c r="C606" s="3">
        <v>2</v>
      </c>
      <c r="D606" s="2">
        <v>0</v>
      </c>
      <c r="E606" s="2">
        <f t="shared" si="16"/>
        <v>2</v>
      </c>
      <c r="F606" s="9">
        <v>9.1743119266055051E-3</v>
      </c>
    </row>
    <row r="607" spans="2:6" x14ac:dyDescent="0.35">
      <c r="B607" s="4" t="s">
        <v>60</v>
      </c>
      <c r="C607" s="3">
        <v>1</v>
      </c>
      <c r="D607" s="2">
        <v>0</v>
      </c>
      <c r="E607" s="2">
        <f t="shared" si="16"/>
        <v>1</v>
      </c>
      <c r="F607" s="9">
        <v>4.5871559633027525E-3</v>
      </c>
    </row>
    <row r="608" spans="2:6" x14ac:dyDescent="0.35">
      <c r="B608" s="4" t="s">
        <v>135</v>
      </c>
      <c r="C608" s="3">
        <v>1</v>
      </c>
      <c r="D608" s="2">
        <v>1</v>
      </c>
      <c r="E608" s="2">
        <f t="shared" si="16"/>
        <v>2</v>
      </c>
      <c r="F608" s="9">
        <v>9.1743119266055051E-3</v>
      </c>
    </row>
    <row r="609" spans="2:6" x14ac:dyDescent="0.35">
      <c r="B609" s="4" t="s">
        <v>285</v>
      </c>
      <c r="C609" s="3">
        <v>1</v>
      </c>
      <c r="D609" s="2">
        <v>1</v>
      </c>
      <c r="E609" s="2">
        <f t="shared" si="16"/>
        <v>2</v>
      </c>
      <c r="F609" s="9">
        <v>9.1743119266055051E-3</v>
      </c>
    </row>
    <row r="610" spans="2:6" x14ac:dyDescent="0.35">
      <c r="B610" s="4" t="s">
        <v>325</v>
      </c>
      <c r="C610" s="3">
        <v>2</v>
      </c>
      <c r="D610" s="2">
        <v>0</v>
      </c>
      <c r="E610" s="2">
        <f t="shared" si="16"/>
        <v>2</v>
      </c>
      <c r="F610" s="9">
        <v>9.1743119266055051E-3</v>
      </c>
    </row>
    <row r="611" spans="2:6" x14ac:dyDescent="0.35">
      <c r="B611" s="4" t="s">
        <v>174</v>
      </c>
      <c r="C611" s="3">
        <v>1</v>
      </c>
      <c r="D611" s="2">
        <v>1</v>
      </c>
      <c r="E611" s="2">
        <f t="shared" si="16"/>
        <v>2</v>
      </c>
      <c r="F611" s="9">
        <v>9.1743119266055051E-3</v>
      </c>
    </row>
    <row r="612" spans="2:6" x14ac:dyDescent="0.35">
      <c r="B612" s="4" t="s">
        <v>315</v>
      </c>
      <c r="C612" s="3">
        <v>1</v>
      </c>
      <c r="D612" s="2">
        <v>0</v>
      </c>
      <c r="E612" s="2">
        <f t="shared" si="16"/>
        <v>1</v>
      </c>
      <c r="F612" s="9">
        <v>4.5871559633027525E-3</v>
      </c>
    </row>
    <row r="613" spans="2:6" x14ac:dyDescent="0.35">
      <c r="B613" s="4" t="s">
        <v>128</v>
      </c>
      <c r="C613" s="3">
        <v>3</v>
      </c>
      <c r="D613" s="2">
        <v>1</v>
      </c>
      <c r="E613" s="2">
        <f t="shared" si="16"/>
        <v>4</v>
      </c>
      <c r="F613" s="9">
        <v>1.834862385321101E-2</v>
      </c>
    </row>
    <row r="614" spans="2:6" x14ac:dyDescent="0.35">
      <c r="B614" s="4" t="s">
        <v>138</v>
      </c>
      <c r="C614" s="3">
        <v>2</v>
      </c>
      <c r="D614" s="2">
        <v>1</v>
      </c>
      <c r="E614" s="2">
        <f t="shared" si="16"/>
        <v>3</v>
      </c>
      <c r="F614" s="9">
        <v>1.3761467889908258E-2</v>
      </c>
    </row>
    <row r="615" spans="2:6" x14ac:dyDescent="0.35">
      <c r="B615" s="4" t="s">
        <v>194</v>
      </c>
      <c r="C615" s="3">
        <v>1</v>
      </c>
      <c r="D615" s="2">
        <v>0</v>
      </c>
      <c r="E615" s="2">
        <f t="shared" si="16"/>
        <v>1</v>
      </c>
      <c r="F615" s="9">
        <v>4.5871559633027525E-3</v>
      </c>
    </row>
    <row r="616" spans="2:6" x14ac:dyDescent="0.35">
      <c r="B616" s="4" t="s">
        <v>207</v>
      </c>
      <c r="C616" s="3">
        <v>1</v>
      </c>
      <c r="D616" s="2">
        <v>0</v>
      </c>
      <c r="E616" s="2">
        <f t="shared" si="16"/>
        <v>1</v>
      </c>
      <c r="F616" s="9">
        <v>4.5871559633027525E-3</v>
      </c>
    </row>
    <row r="617" spans="2:6" x14ac:dyDescent="0.35">
      <c r="B617" s="4" t="s">
        <v>269</v>
      </c>
      <c r="C617" s="3">
        <v>1</v>
      </c>
      <c r="D617" s="2">
        <v>0</v>
      </c>
      <c r="E617" s="2">
        <f t="shared" si="16"/>
        <v>1</v>
      </c>
      <c r="F617" s="9">
        <v>4.5871559633027525E-3</v>
      </c>
    </row>
    <row r="618" spans="2:6" x14ac:dyDescent="0.35">
      <c r="B618" s="4" t="s">
        <v>160</v>
      </c>
      <c r="C618" s="3">
        <v>2</v>
      </c>
      <c r="D618" s="2">
        <v>0</v>
      </c>
      <c r="E618" s="2">
        <f t="shared" si="16"/>
        <v>2</v>
      </c>
      <c r="F618" s="9">
        <v>9.1743119266055051E-3</v>
      </c>
    </row>
    <row r="619" spans="2:6" x14ac:dyDescent="0.35">
      <c r="B619" s="4" t="s">
        <v>74</v>
      </c>
      <c r="C619" s="3">
        <v>1</v>
      </c>
      <c r="D619" s="2">
        <v>0</v>
      </c>
      <c r="E619" s="2">
        <f t="shared" si="16"/>
        <v>1</v>
      </c>
      <c r="F619" s="9">
        <v>4.5871559633027525E-3</v>
      </c>
    </row>
    <row r="620" spans="2:6" x14ac:dyDescent="0.35">
      <c r="B620" s="4" t="s">
        <v>243</v>
      </c>
      <c r="C620" s="3">
        <v>2</v>
      </c>
      <c r="D620" s="2">
        <v>0</v>
      </c>
      <c r="E620" s="2">
        <f t="shared" si="16"/>
        <v>2</v>
      </c>
      <c r="F620" s="9">
        <v>9.1743119266055051E-3</v>
      </c>
    </row>
    <row r="621" spans="2:6" x14ac:dyDescent="0.35">
      <c r="B621" s="4" t="s">
        <v>411</v>
      </c>
      <c r="C621" s="3">
        <v>1</v>
      </c>
      <c r="D621" s="2">
        <v>0</v>
      </c>
      <c r="E621" s="2">
        <f t="shared" si="16"/>
        <v>1</v>
      </c>
      <c r="F621" s="9">
        <v>4.5871559633027525E-3</v>
      </c>
    </row>
    <row r="622" spans="2:6" x14ac:dyDescent="0.35">
      <c r="B622" s="4" t="s">
        <v>331</v>
      </c>
      <c r="C622" s="3">
        <v>1</v>
      </c>
      <c r="D622" s="2">
        <v>0</v>
      </c>
      <c r="E622" s="2">
        <f t="shared" si="16"/>
        <v>1</v>
      </c>
      <c r="F622" s="9">
        <v>4.5871559633027525E-3</v>
      </c>
    </row>
    <row r="623" spans="2:6" x14ac:dyDescent="0.35">
      <c r="B623" s="4" t="s">
        <v>93</v>
      </c>
      <c r="C623" s="3">
        <v>2</v>
      </c>
      <c r="D623" s="2">
        <v>0</v>
      </c>
      <c r="E623" s="2">
        <f t="shared" si="16"/>
        <v>2</v>
      </c>
      <c r="F623" s="9">
        <v>9.1743119266055051E-3</v>
      </c>
    </row>
    <row r="624" spans="2:6" x14ac:dyDescent="0.35">
      <c r="B624" s="4" t="s">
        <v>158</v>
      </c>
      <c r="C624" s="3">
        <v>1</v>
      </c>
      <c r="D624" s="2">
        <v>0</v>
      </c>
      <c r="E624" s="2">
        <f t="shared" si="16"/>
        <v>1</v>
      </c>
      <c r="F624" s="9">
        <v>4.5871559633027525E-3</v>
      </c>
    </row>
    <row r="625" spans="2:6" x14ac:dyDescent="0.35">
      <c r="B625" s="4" t="s">
        <v>198</v>
      </c>
      <c r="C625" s="3">
        <v>3</v>
      </c>
      <c r="D625" s="2">
        <v>0</v>
      </c>
      <c r="E625" s="2">
        <f t="shared" si="16"/>
        <v>3</v>
      </c>
      <c r="F625" s="9">
        <v>1.3761467889908258E-2</v>
      </c>
    </row>
    <row r="626" spans="2:6" x14ac:dyDescent="0.35">
      <c r="B626" s="4" t="s">
        <v>296</v>
      </c>
      <c r="C626" s="3">
        <v>1</v>
      </c>
      <c r="D626" s="2">
        <v>0</v>
      </c>
      <c r="E626" s="2">
        <f t="shared" si="16"/>
        <v>1</v>
      </c>
      <c r="F626" s="9">
        <v>4.5871559633027525E-3</v>
      </c>
    </row>
    <row r="627" spans="2:6" x14ac:dyDescent="0.35">
      <c r="B627" s="4" t="s">
        <v>406</v>
      </c>
      <c r="C627" s="3">
        <v>1</v>
      </c>
      <c r="D627" s="2">
        <v>0</v>
      </c>
      <c r="E627" s="2">
        <f t="shared" si="16"/>
        <v>1</v>
      </c>
      <c r="F627" s="9">
        <v>4.5871559633027525E-3</v>
      </c>
    </row>
    <row r="628" spans="2:6" x14ac:dyDescent="0.35">
      <c r="B628" s="4" t="s">
        <v>137</v>
      </c>
      <c r="C628" s="3">
        <v>1</v>
      </c>
      <c r="D628" s="2">
        <v>0</v>
      </c>
      <c r="E628" s="2">
        <f t="shared" si="16"/>
        <v>1</v>
      </c>
      <c r="F628" s="9">
        <v>4.5871559633027525E-3</v>
      </c>
    </row>
    <row r="629" spans="2:6" x14ac:dyDescent="0.35">
      <c r="B629" s="4" t="s">
        <v>229</v>
      </c>
      <c r="C629" s="3">
        <v>1</v>
      </c>
      <c r="D629" s="2">
        <v>0</v>
      </c>
      <c r="E629" s="2">
        <f t="shared" si="16"/>
        <v>1</v>
      </c>
      <c r="F629" s="9">
        <v>4.5871559633027525E-3</v>
      </c>
    </row>
    <row r="630" spans="2:6" x14ac:dyDescent="0.35">
      <c r="B630" s="4" t="s">
        <v>318</v>
      </c>
      <c r="C630" s="3">
        <v>3</v>
      </c>
      <c r="D630" s="2">
        <v>0</v>
      </c>
      <c r="E630" s="2">
        <f t="shared" si="16"/>
        <v>3</v>
      </c>
      <c r="F630" s="9">
        <v>1.3761467889908258E-2</v>
      </c>
    </row>
    <row r="631" spans="2:6" x14ac:dyDescent="0.35">
      <c r="B631" s="4" t="s">
        <v>231</v>
      </c>
      <c r="C631" s="3">
        <v>2</v>
      </c>
      <c r="D631" s="2">
        <v>0</v>
      </c>
      <c r="E631" s="2">
        <f t="shared" si="16"/>
        <v>2</v>
      </c>
      <c r="F631" s="9">
        <v>9.1743119266055051E-3</v>
      </c>
    </row>
    <row r="632" spans="2:6" x14ac:dyDescent="0.35">
      <c r="B632" s="4" t="s">
        <v>154</v>
      </c>
      <c r="C632" s="3">
        <v>1</v>
      </c>
      <c r="D632" s="2">
        <v>0</v>
      </c>
      <c r="E632" s="2">
        <f t="shared" si="16"/>
        <v>1</v>
      </c>
      <c r="F632" s="9">
        <v>4.5871559633027525E-3</v>
      </c>
    </row>
    <row r="633" spans="2:6" x14ac:dyDescent="0.35">
      <c r="B633" s="4" t="s">
        <v>279</v>
      </c>
      <c r="C633" s="3">
        <v>2</v>
      </c>
      <c r="D633" s="2">
        <v>0</v>
      </c>
      <c r="E633" s="2">
        <f t="shared" si="16"/>
        <v>2</v>
      </c>
      <c r="F633" s="9">
        <v>9.1743119266055051E-3</v>
      </c>
    </row>
    <row r="634" spans="2:6" x14ac:dyDescent="0.35">
      <c r="B634" s="4" t="s">
        <v>356</v>
      </c>
      <c r="C634" s="3">
        <v>1</v>
      </c>
      <c r="D634" s="2">
        <v>0</v>
      </c>
      <c r="E634" s="2">
        <f t="shared" si="16"/>
        <v>1</v>
      </c>
      <c r="F634" s="9">
        <v>4.5871559633027525E-3</v>
      </c>
    </row>
    <row r="635" spans="2:6" x14ac:dyDescent="0.35">
      <c r="B635" s="4" t="s">
        <v>148</v>
      </c>
      <c r="C635" s="3">
        <v>1</v>
      </c>
      <c r="D635" s="2">
        <v>1</v>
      </c>
      <c r="E635" s="2">
        <f t="shared" si="16"/>
        <v>2</v>
      </c>
      <c r="F635" s="9">
        <v>9.1743119266055051E-3</v>
      </c>
    </row>
    <row r="636" spans="2:6" x14ac:dyDescent="0.35">
      <c r="B636" s="4" t="s">
        <v>169</v>
      </c>
      <c r="C636" s="3">
        <v>1</v>
      </c>
      <c r="D636" s="2">
        <v>0</v>
      </c>
      <c r="E636" s="2">
        <f t="shared" si="16"/>
        <v>1</v>
      </c>
      <c r="F636" s="9">
        <v>4.5871559633027525E-3</v>
      </c>
    </row>
    <row r="637" spans="2:6" x14ac:dyDescent="0.35">
      <c r="B637" s="4" t="s">
        <v>284</v>
      </c>
      <c r="C637" s="3">
        <v>1</v>
      </c>
      <c r="D637" s="2">
        <v>0</v>
      </c>
      <c r="E637" s="2">
        <f t="shared" si="16"/>
        <v>1</v>
      </c>
      <c r="F637" s="9">
        <v>4.5871559633027525E-3</v>
      </c>
    </row>
    <row r="638" spans="2:6" x14ac:dyDescent="0.35">
      <c r="B638" s="4" t="s">
        <v>416</v>
      </c>
      <c r="C638" s="3">
        <v>1</v>
      </c>
      <c r="D638" s="2">
        <v>0</v>
      </c>
      <c r="E638" s="2">
        <f t="shared" si="16"/>
        <v>1</v>
      </c>
      <c r="F638" s="9">
        <v>4.5871559633027525E-3</v>
      </c>
    </row>
    <row r="639" spans="2:6" x14ac:dyDescent="0.35">
      <c r="B639" s="4" t="s">
        <v>293</v>
      </c>
      <c r="C639" s="3">
        <v>1</v>
      </c>
      <c r="D639" s="2">
        <v>2</v>
      </c>
      <c r="E639" s="2">
        <f t="shared" si="16"/>
        <v>3</v>
      </c>
      <c r="F639" s="9">
        <v>1.3761467889908258E-2</v>
      </c>
    </row>
    <row r="640" spans="2:6" x14ac:dyDescent="0.35">
      <c r="B640" s="4" t="s">
        <v>185</v>
      </c>
      <c r="C640" s="3">
        <v>1</v>
      </c>
      <c r="D640" s="2">
        <v>0</v>
      </c>
      <c r="E640" s="2">
        <f t="shared" si="16"/>
        <v>1</v>
      </c>
      <c r="F640" s="9">
        <v>4.5871559633027525E-3</v>
      </c>
    </row>
    <row r="641" spans="2:6" x14ac:dyDescent="0.35">
      <c r="B641" s="4" t="s">
        <v>193</v>
      </c>
      <c r="C641" s="3">
        <v>1</v>
      </c>
      <c r="D641" s="2">
        <v>0</v>
      </c>
      <c r="E641" s="2">
        <f t="shared" si="16"/>
        <v>1</v>
      </c>
      <c r="F641" s="9">
        <v>4.5871559633027525E-3</v>
      </c>
    </row>
    <row r="642" spans="2:6" x14ac:dyDescent="0.35">
      <c r="B642" s="4" t="s">
        <v>297</v>
      </c>
      <c r="C642" s="3">
        <v>1</v>
      </c>
      <c r="D642" s="2">
        <v>0</v>
      </c>
      <c r="E642" s="2">
        <f t="shared" si="16"/>
        <v>1</v>
      </c>
      <c r="F642" s="9">
        <v>4.5871559633027525E-3</v>
      </c>
    </row>
    <row r="643" spans="2:6" x14ac:dyDescent="0.35">
      <c r="B643" s="4" t="s">
        <v>252</v>
      </c>
      <c r="C643" s="3">
        <v>1</v>
      </c>
      <c r="D643" s="2">
        <v>0</v>
      </c>
      <c r="E643" s="2">
        <f t="shared" si="16"/>
        <v>1</v>
      </c>
      <c r="F643" s="9">
        <v>4.5871559633027525E-3</v>
      </c>
    </row>
    <row r="644" spans="2:6" x14ac:dyDescent="0.35">
      <c r="B644" s="4" t="s">
        <v>205</v>
      </c>
      <c r="C644" s="3">
        <v>1</v>
      </c>
      <c r="D644" s="2">
        <v>0</v>
      </c>
      <c r="E644" s="2">
        <f t="shared" ref="E644:E707" si="17">C644+D644</f>
        <v>1</v>
      </c>
      <c r="F644" s="9">
        <v>4.5871559633027525E-3</v>
      </c>
    </row>
    <row r="645" spans="2:6" x14ac:dyDescent="0.35">
      <c r="B645" s="4" t="s">
        <v>58</v>
      </c>
      <c r="C645" s="3">
        <v>4</v>
      </c>
      <c r="D645" s="2">
        <v>1</v>
      </c>
      <c r="E645" s="2">
        <f t="shared" si="17"/>
        <v>5</v>
      </c>
      <c r="F645" s="9">
        <v>2.2935779816513763E-2</v>
      </c>
    </row>
    <row r="646" spans="2:6" x14ac:dyDescent="0.35">
      <c r="B646" s="4" t="s">
        <v>170</v>
      </c>
      <c r="C646" s="3">
        <v>2</v>
      </c>
      <c r="D646" s="2">
        <v>0</v>
      </c>
      <c r="E646" s="2">
        <f t="shared" si="17"/>
        <v>2</v>
      </c>
      <c r="F646" s="9">
        <v>9.1743119266055051E-3</v>
      </c>
    </row>
    <row r="647" spans="2:6" x14ac:dyDescent="0.35">
      <c r="B647" s="4" t="s">
        <v>175</v>
      </c>
      <c r="C647" s="3">
        <v>2</v>
      </c>
      <c r="D647" s="2">
        <v>1</v>
      </c>
      <c r="E647" s="2">
        <f t="shared" si="17"/>
        <v>3</v>
      </c>
      <c r="F647" s="9">
        <v>1.3761467889908258E-2</v>
      </c>
    </row>
    <row r="648" spans="2:6" x14ac:dyDescent="0.35">
      <c r="B648" s="4" t="s">
        <v>306</v>
      </c>
      <c r="C648" s="3">
        <v>1</v>
      </c>
      <c r="D648" s="2">
        <v>0</v>
      </c>
      <c r="E648" s="2">
        <f t="shared" si="17"/>
        <v>1</v>
      </c>
      <c r="F648" s="9">
        <v>4.5871559633027525E-3</v>
      </c>
    </row>
    <row r="649" spans="2:6" x14ac:dyDescent="0.35">
      <c r="B649" s="4" t="s">
        <v>66</v>
      </c>
      <c r="C649" s="3">
        <v>1</v>
      </c>
      <c r="D649" s="2">
        <v>0</v>
      </c>
      <c r="E649" s="2">
        <f t="shared" si="17"/>
        <v>1</v>
      </c>
      <c r="F649" s="9">
        <v>4.5871559633027525E-3</v>
      </c>
    </row>
    <row r="650" spans="2:6" x14ac:dyDescent="0.35">
      <c r="B650" s="4" t="s">
        <v>87</v>
      </c>
      <c r="C650" s="3">
        <v>3</v>
      </c>
      <c r="D650" s="2">
        <v>0</v>
      </c>
      <c r="E650" s="2">
        <f t="shared" si="17"/>
        <v>3</v>
      </c>
      <c r="F650" s="9">
        <v>1.3761467889908258E-2</v>
      </c>
    </row>
    <row r="651" spans="2:6" x14ac:dyDescent="0.35">
      <c r="B651" s="4" t="s">
        <v>303</v>
      </c>
      <c r="C651" s="3">
        <v>1</v>
      </c>
      <c r="D651" s="2">
        <v>0</v>
      </c>
      <c r="E651" s="2">
        <f t="shared" si="17"/>
        <v>1</v>
      </c>
      <c r="F651" s="9">
        <v>4.5871559633027525E-3</v>
      </c>
    </row>
    <row r="652" spans="2:6" x14ac:dyDescent="0.35">
      <c r="B652" s="4" t="s">
        <v>63</v>
      </c>
      <c r="C652" s="3">
        <v>1</v>
      </c>
      <c r="D652" s="2">
        <v>1</v>
      </c>
      <c r="E652" s="2">
        <f t="shared" si="17"/>
        <v>2</v>
      </c>
      <c r="F652" s="9">
        <v>9.1743119266055051E-3</v>
      </c>
    </row>
    <row r="653" spans="2:6" x14ac:dyDescent="0.35">
      <c r="B653" s="4" t="s">
        <v>153</v>
      </c>
      <c r="C653" s="3">
        <v>2</v>
      </c>
      <c r="D653" s="2">
        <v>0</v>
      </c>
      <c r="E653" s="2">
        <f t="shared" si="17"/>
        <v>2</v>
      </c>
      <c r="F653" s="9">
        <v>9.1743119266055051E-3</v>
      </c>
    </row>
    <row r="654" spans="2:6" x14ac:dyDescent="0.35">
      <c r="B654" s="4" t="s">
        <v>157</v>
      </c>
      <c r="C654" s="3">
        <v>3</v>
      </c>
      <c r="D654" s="2">
        <v>0</v>
      </c>
      <c r="E654" s="2">
        <f t="shared" si="17"/>
        <v>3</v>
      </c>
      <c r="F654" s="9">
        <v>1.3761467889908258E-2</v>
      </c>
    </row>
    <row r="655" spans="2:6" x14ac:dyDescent="0.35">
      <c r="B655" s="4" t="s">
        <v>320</v>
      </c>
      <c r="C655" s="3">
        <v>1</v>
      </c>
      <c r="D655" s="2">
        <v>0</v>
      </c>
      <c r="E655" s="2">
        <f t="shared" si="17"/>
        <v>1</v>
      </c>
      <c r="F655" s="9">
        <v>4.5871559633027525E-3</v>
      </c>
    </row>
    <row r="656" spans="2:6" x14ac:dyDescent="0.35">
      <c r="B656" s="4" t="s">
        <v>360</v>
      </c>
      <c r="C656" s="3">
        <v>2</v>
      </c>
      <c r="D656" s="2">
        <v>0</v>
      </c>
      <c r="E656" s="2">
        <f t="shared" si="17"/>
        <v>2</v>
      </c>
      <c r="F656" s="9">
        <v>9.1743119266055051E-3</v>
      </c>
    </row>
    <row r="657" spans="2:6" x14ac:dyDescent="0.35">
      <c r="B657" s="4" t="s">
        <v>324</v>
      </c>
      <c r="C657" s="3">
        <v>1</v>
      </c>
      <c r="D657" s="2">
        <v>0</v>
      </c>
      <c r="E657" s="2">
        <f t="shared" si="17"/>
        <v>1</v>
      </c>
      <c r="F657" s="9">
        <v>4.5871559633027525E-3</v>
      </c>
    </row>
    <row r="658" spans="2:6" x14ac:dyDescent="0.35">
      <c r="B658" s="4" t="s">
        <v>310</v>
      </c>
      <c r="C658" s="3">
        <v>1</v>
      </c>
      <c r="D658" s="2">
        <v>0</v>
      </c>
      <c r="E658" s="2">
        <f t="shared" si="17"/>
        <v>1</v>
      </c>
      <c r="F658" s="9">
        <v>4.5871559633027525E-3</v>
      </c>
    </row>
    <row r="659" spans="2:6" x14ac:dyDescent="0.35">
      <c r="B659" s="4" t="s">
        <v>308</v>
      </c>
      <c r="C659" s="3">
        <v>1</v>
      </c>
      <c r="D659" s="2">
        <v>0</v>
      </c>
      <c r="E659" s="2">
        <f t="shared" si="17"/>
        <v>1</v>
      </c>
      <c r="F659" s="9">
        <v>4.5871559633027525E-3</v>
      </c>
    </row>
    <row r="660" spans="2:6" x14ac:dyDescent="0.35">
      <c r="B660" s="4" t="s">
        <v>228</v>
      </c>
      <c r="C660" s="3">
        <v>3</v>
      </c>
      <c r="D660" s="2">
        <v>0</v>
      </c>
      <c r="E660" s="2">
        <f t="shared" si="17"/>
        <v>3</v>
      </c>
      <c r="F660" s="9">
        <v>1.3761467889908258E-2</v>
      </c>
    </row>
    <row r="661" spans="2:6" x14ac:dyDescent="0.35">
      <c r="B661" s="4" t="s">
        <v>290</v>
      </c>
      <c r="C661" s="3">
        <v>2</v>
      </c>
      <c r="D661" s="2">
        <v>1</v>
      </c>
      <c r="E661" s="2">
        <f t="shared" si="17"/>
        <v>3</v>
      </c>
      <c r="F661" s="9">
        <v>1.3761467889908258E-2</v>
      </c>
    </row>
    <row r="662" spans="2:6" x14ac:dyDescent="0.35">
      <c r="B662" s="4" t="s">
        <v>190</v>
      </c>
      <c r="C662" s="3">
        <v>1</v>
      </c>
      <c r="D662" s="2">
        <v>0</v>
      </c>
      <c r="E662" s="2">
        <f t="shared" si="17"/>
        <v>1</v>
      </c>
      <c r="F662" s="9">
        <v>4.5871559633027525E-3</v>
      </c>
    </row>
    <row r="663" spans="2:6" x14ac:dyDescent="0.35">
      <c r="B663" s="4" t="s">
        <v>307</v>
      </c>
      <c r="C663" s="3">
        <v>1</v>
      </c>
      <c r="D663" s="2">
        <v>0</v>
      </c>
      <c r="E663" s="2">
        <f t="shared" si="17"/>
        <v>1</v>
      </c>
      <c r="F663" s="9">
        <v>4.5871559633027525E-3</v>
      </c>
    </row>
    <row r="664" spans="2:6" x14ac:dyDescent="0.35">
      <c r="B664" s="4" t="s">
        <v>312</v>
      </c>
      <c r="C664" s="3">
        <v>1</v>
      </c>
      <c r="D664" s="2">
        <v>0</v>
      </c>
      <c r="E664" s="2">
        <f t="shared" si="17"/>
        <v>1</v>
      </c>
      <c r="F664" s="9">
        <v>4.5871559633027525E-3</v>
      </c>
    </row>
    <row r="665" spans="2:6" x14ac:dyDescent="0.35">
      <c r="B665" s="4" t="s">
        <v>343</v>
      </c>
      <c r="C665" s="3">
        <v>2</v>
      </c>
      <c r="D665" s="2">
        <v>0</v>
      </c>
      <c r="E665" s="2">
        <f t="shared" si="17"/>
        <v>2</v>
      </c>
      <c r="F665" s="9">
        <v>9.1743119266055051E-3</v>
      </c>
    </row>
    <row r="666" spans="2:6" x14ac:dyDescent="0.35">
      <c r="B666" s="4" t="s">
        <v>186</v>
      </c>
      <c r="C666" s="3">
        <v>4</v>
      </c>
      <c r="D666" s="2">
        <v>0</v>
      </c>
      <c r="E666" s="2">
        <f t="shared" si="17"/>
        <v>4</v>
      </c>
      <c r="F666" s="9">
        <v>1.834862385321101E-2</v>
      </c>
    </row>
    <row r="667" spans="2:6" x14ac:dyDescent="0.35">
      <c r="B667" s="4" t="s">
        <v>346</v>
      </c>
      <c r="C667" s="3">
        <v>1</v>
      </c>
      <c r="D667" s="2">
        <v>0</v>
      </c>
      <c r="E667" s="2">
        <f t="shared" si="17"/>
        <v>1</v>
      </c>
      <c r="F667" s="9">
        <v>4.5871559633027525E-3</v>
      </c>
    </row>
    <row r="668" spans="2:6" x14ac:dyDescent="0.35">
      <c r="B668" s="4" t="s">
        <v>242</v>
      </c>
      <c r="C668" s="3">
        <v>1</v>
      </c>
      <c r="D668" s="2">
        <v>0</v>
      </c>
      <c r="E668" s="2">
        <f t="shared" si="17"/>
        <v>1</v>
      </c>
      <c r="F668" s="9">
        <v>4.5871559633027525E-3</v>
      </c>
    </row>
    <row r="669" spans="2:6" x14ac:dyDescent="0.35">
      <c r="B669" s="4" t="s">
        <v>273</v>
      </c>
      <c r="C669" s="3">
        <v>1</v>
      </c>
      <c r="D669" s="2">
        <v>0</v>
      </c>
      <c r="E669" s="2">
        <f t="shared" si="17"/>
        <v>1</v>
      </c>
      <c r="F669" s="9">
        <v>4.5871559633027525E-3</v>
      </c>
    </row>
    <row r="670" spans="2:6" x14ac:dyDescent="0.35">
      <c r="B670" s="4" t="s">
        <v>370</v>
      </c>
      <c r="C670" s="3">
        <v>1</v>
      </c>
      <c r="D670" s="2">
        <v>0</v>
      </c>
      <c r="E670" s="2">
        <f t="shared" si="17"/>
        <v>1</v>
      </c>
      <c r="F670" s="9">
        <v>4.5871559633027525E-3</v>
      </c>
    </row>
    <row r="671" spans="2:6" x14ac:dyDescent="0.35">
      <c r="B671" s="4" t="s">
        <v>409</v>
      </c>
      <c r="C671" s="3">
        <v>1</v>
      </c>
      <c r="D671" s="2">
        <v>0</v>
      </c>
      <c r="E671" s="2">
        <f t="shared" si="17"/>
        <v>1</v>
      </c>
      <c r="F671" s="9">
        <v>4.5871559633027525E-3</v>
      </c>
    </row>
    <row r="672" spans="2:6" x14ac:dyDescent="0.35">
      <c r="B672" s="4" t="s">
        <v>230</v>
      </c>
      <c r="C672" s="3">
        <v>1</v>
      </c>
      <c r="D672" s="2">
        <v>0</v>
      </c>
      <c r="E672" s="2">
        <f t="shared" si="17"/>
        <v>1</v>
      </c>
      <c r="F672" s="9">
        <v>4.5871559633027525E-3</v>
      </c>
    </row>
    <row r="673" spans="1:6" x14ac:dyDescent="0.35">
      <c r="B673" s="4" t="s">
        <v>224</v>
      </c>
      <c r="C673" s="3">
        <v>1</v>
      </c>
      <c r="D673" s="2">
        <v>0</v>
      </c>
      <c r="E673" s="2">
        <f t="shared" si="17"/>
        <v>1</v>
      </c>
      <c r="F673" s="9">
        <v>4.5871559633027525E-3</v>
      </c>
    </row>
    <row r="674" spans="1:6" x14ac:dyDescent="0.35">
      <c r="B674" s="4" t="s">
        <v>90</v>
      </c>
      <c r="C674" s="3">
        <v>1</v>
      </c>
      <c r="D674" s="2">
        <v>0</v>
      </c>
      <c r="E674" s="2">
        <f t="shared" si="17"/>
        <v>1</v>
      </c>
      <c r="F674" s="9">
        <v>4.5871559633027525E-3</v>
      </c>
    </row>
    <row r="675" spans="1:6" x14ac:dyDescent="0.35">
      <c r="B675" s="4" t="s">
        <v>249</v>
      </c>
      <c r="C675" s="3">
        <v>1</v>
      </c>
      <c r="D675" s="2">
        <v>0</v>
      </c>
      <c r="E675" s="2">
        <f t="shared" si="17"/>
        <v>1</v>
      </c>
      <c r="F675" s="9">
        <v>4.5871559633027525E-3</v>
      </c>
    </row>
    <row r="676" spans="1:6" x14ac:dyDescent="0.35">
      <c r="A676" s="17" t="s">
        <v>466</v>
      </c>
      <c r="B676" s="12" t="s">
        <v>462</v>
      </c>
      <c r="C676" s="13">
        <f>SUM(C677:C802)</f>
        <v>186</v>
      </c>
      <c r="D676" s="13">
        <f t="shared" ref="D676:E676" si="18">SUM(D677:D802)</f>
        <v>21</v>
      </c>
      <c r="E676" s="13">
        <f t="shared" si="18"/>
        <v>207</v>
      </c>
      <c r="F676" s="12"/>
    </row>
    <row r="677" spans="1:6" x14ac:dyDescent="0.35">
      <c r="B677" s="4" t="s">
        <v>62</v>
      </c>
      <c r="C677" s="3">
        <v>1</v>
      </c>
      <c r="D677" s="2">
        <v>0</v>
      </c>
      <c r="E677" s="2">
        <f t="shared" si="17"/>
        <v>1</v>
      </c>
      <c r="F677" s="9">
        <v>4.830917874396135E-3</v>
      </c>
    </row>
    <row r="678" spans="1:6" x14ac:dyDescent="0.35">
      <c r="B678" s="4" t="s">
        <v>41</v>
      </c>
      <c r="C678" s="3">
        <v>2</v>
      </c>
      <c r="D678" s="2">
        <v>1</v>
      </c>
      <c r="E678" s="2">
        <f t="shared" si="17"/>
        <v>3</v>
      </c>
      <c r="F678" s="9">
        <v>1.4492753623188406E-2</v>
      </c>
    </row>
    <row r="679" spans="1:6" x14ac:dyDescent="0.35">
      <c r="B679" s="4" t="s">
        <v>319</v>
      </c>
      <c r="C679" s="3">
        <v>2</v>
      </c>
      <c r="D679" s="2">
        <v>0</v>
      </c>
      <c r="E679" s="2">
        <f t="shared" si="17"/>
        <v>2</v>
      </c>
      <c r="F679" s="9">
        <v>9.6618357487922701E-3</v>
      </c>
    </row>
    <row r="680" spans="1:6" x14ac:dyDescent="0.35">
      <c r="B680" s="4" t="s">
        <v>184</v>
      </c>
      <c r="C680" s="3">
        <v>1</v>
      </c>
      <c r="D680" s="2">
        <v>0</v>
      </c>
      <c r="E680" s="2">
        <f t="shared" si="17"/>
        <v>1</v>
      </c>
      <c r="F680" s="9">
        <v>4.830917874396135E-3</v>
      </c>
    </row>
    <row r="681" spans="1:6" x14ac:dyDescent="0.35">
      <c r="B681" s="4" t="s">
        <v>161</v>
      </c>
      <c r="C681" s="3">
        <v>1</v>
      </c>
      <c r="D681" s="2">
        <v>0</v>
      </c>
      <c r="E681" s="2">
        <f t="shared" si="17"/>
        <v>1</v>
      </c>
      <c r="F681" s="9">
        <v>4.830917874396135E-3</v>
      </c>
    </row>
    <row r="682" spans="1:6" x14ac:dyDescent="0.35">
      <c r="B682" s="4" t="s">
        <v>196</v>
      </c>
      <c r="C682" s="3">
        <v>1</v>
      </c>
      <c r="D682" s="2">
        <v>0</v>
      </c>
      <c r="E682" s="2">
        <f t="shared" si="17"/>
        <v>1</v>
      </c>
      <c r="F682" s="9">
        <v>4.830917874396135E-3</v>
      </c>
    </row>
    <row r="683" spans="1:6" x14ac:dyDescent="0.35">
      <c r="B683" s="4" t="s">
        <v>35</v>
      </c>
      <c r="C683" s="3">
        <v>2</v>
      </c>
      <c r="D683" s="2">
        <v>0</v>
      </c>
      <c r="E683" s="2">
        <f t="shared" si="17"/>
        <v>2</v>
      </c>
      <c r="F683" s="9">
        <v>9.6618357487922701E-3</v>
      </c>
    </row>
    <row r="684" spans="1:6" x14ac:dyDescent="0.35">
      <c r="B684" s="4" t="s">
        <v>288</v>
      </c>
      <c r="C684" s="3">
        <v>2</v>
      </c>
      <c r="D684" s="2">
        <v>0</v>
      </c>
      <c r="E684" s="2">
        <f t="shared" si="17"/>
        <v>2</v>
      </c>
      <c r="F684" s="9">
        <v>9.6618357487922701E-3</v>
      </c>
    </row>
    <row r="685" spans="1:6" x14ac:dyDescent="0.35">
      <c r="B685" s="4" t="s">
        <v>245</v>
      </c>
      <c r="C685" s="3">
        <v>3</v>
      </c>
      <c r="D685" s="2">
        <v>0</v>
      </c>
      <c r="E685" s="2">
        <f t="shared" si="17"/>
        <v>3</v>
      </c>
      <c r="F685" s="9">
        <v>1.4492753623188406E-2</v>
      </c>
    </row>
    <row r="686" spans="1:6" x14ac:dyDescent="0.35">
      <c r="B686" s="4" t="s">
        <v>287</v>
      </c>
      <c r="C686" s="3">
        <v>1</v>
      </c>
      <c r="D686" s="2">
        <v>0</v>
      </c>
      <c r="E686" s="2">
        <f t="shared" si="17"/>
        <v>1</v>
      </c>
      <c r="F686" s="9">
        <v>4.830917874396135E-3</v>
      </c>
    </row>
    <row r="687" spans="1:6" x14ac:dyDescent="0.35">
      <c r="B687" s="4" t="s">
        <v>295</v>
      </c>
      <c r="C687" s="3">
        <v>1</v>
      </c>
      <c r="D687" s="2">
        <v>1</v>
      </c>
      <c r="E687" s="2">
        <f t="shared" si="17"/>
        <v>2</v>
      </c>
      <c r="F687" s="9">
        <v>9.6618357487922701E-3</v>
      </c>
    </row>
    <row r="688" spans="1:6" x14ac:dyDescent="0.35">
      <c r="B688" s="4" t="s">
        <v>302</v>
      </c>
      <c r="C688" s="3">
        <v>1</v>
      </c>
      <c r="D688" s="2">
        <v>0</v>
      </c>
      <c r="E688" s="2">
        <f t="shared" si="17"/>
        <v>1</v>
      </c>
      <c r="F688" s="9">
        <v>4.830917874396135E-3</v>
      </c>
    </row>
    <row r="689" spans="2:6" x14ac:dyDescent="0.35">
      <c r="B689" s="4" t="s">
        <v>347</v>
      </c>
      <c r="C689" s="3">
        <v>2</v>
      </c>
      <c r="D689" s="2">
        <v>0</v>
      </c>
      <c r="E689" s="2">
        <f t="shared" si="17"/>
        <v>2</v>
      </c>
      <c r="F689" s="9">
        <v>9.6618357487922701E-3</v>
      </c>
    </row>
    <row r="690" spans="2:6" x14ac:dyDescent="0.35">
      <c r="B690" s="4" t="s">
        <v>222</v>
      </c>
      <c r="C690" s="3">
        <v>1</v>
      </c>
      <c r="D690" s="2">
        <v>0</v>
      </c>
      <c r="E690" s="2">
        <f t="shared" si="17"/>
        <v>1</v>
      </c>
      <c r="F690" s="9">
        <v>4.830917874396135E-3</v>
      </c>
    </row>
    <row r="691" spans="2:6" x14ac:dyDescent="0.35">
      <c r="B691" s="4" t="s">
        <v>378</v>
      </c>
      <c r="C691" s="3">
        <v>1</v>
      </c>
      <c r="D691" s="2">
        <v>0</v>
      </c>
      <c r="E691" s="2">
        <f t="shared" si="17"/>
        <v>1</v>
      </c>
      <c r="F691" s="9">
        <v>4.830917874396135E-3</v>
      </c>
    </row>
    <row r="692" spans="2:6" x14ac:dyDescent="0.35">
      <c r="B692" s="4" t="s">
        <v>250</v>
      </c>
      <c r="C692" s="3">
        <v>1</v>
      </c>
      <c r="D692" s="2">
        <v>0</v>
      </c>
      <c r="E692" s="2">
        <f t="shared" si="17"/>
        <v>1</v>
      </c>
      <c r="F692" s="9">
        <v>4.830917874396135E-3</v>
      </c>
    </row>
    <row r="693" spans="2:6" x14ac:dyDescent="0.35">
      <c r="B693" s="4" t="s">
        <v>209</v>
      </c>
      <c r="C693" s="3">
        <v>2</v>
      </c>
      <c r="D693" s="2">
        <v>0</v>
      </c>
      <c r="E693" s="2">
        <f t="shared" si="17"/>
        <v>2</v>
      </c>
      <c r="F693" s="9">
        <v>9.6618357487922701E-3</v>
      </c>
    </row>
    <row r="694" spans="2:6" x14ac:dyDescent="0.35">
      <c r="B694" s="4" t="s">
        <v>349</v>
      </c>
      <c r="C694" s="3">
        <v>1</v>
      </c>
      <c r="D694" s="2">
        <v>0</v>
      </c>
      <c r="E694" s="2">
        <f t="shared" si="17"/>
        <v>1</v>
      </c>
      <c r="F694" s="9">
        <v>4.830917874396135E-3</v>
      </c>
    </row>
    <row r="695" spans="2:6" x14ac:dyDescent="0.35">
      <c r="B695" s="4" t="s">
        <v>382</v>
      </c>
      <c r="C695" s="3">
        <v>2</v>
      </c>
      <c r="D695" s="2">
        <v>0</v>
      </c>
      <c r="E695" s="2">
        <f t="shared" si="17"/>
        <v>2</v>
      </c>
      <c r="F695" s="9">
        <v>9.6618357487922701E-3</v>
      </c>
    </row>
    <row r="696" spans="2:6" x14ac:dyDescent="0.35">
      <c r="B696" s="4" t="s">
        <v>375</v>
      </c>
      <c r="C696" s="3">
        <v>1</v>
      </c>
      <c r="D696" s="2">
        <v>0</v>
      </c>
      <c r="E696" s="2">
        <f t="shared" si="17"/>
        <v>1</v>
      </c>
      <c r="F696" s="9">
        <v>4.830917874396135E-3</v>
      </c>
    </row>
    <row r="697" spans="2:6" x14ac:dyDescent="0.35">
      <c r="B697" s="4" t="s">
        <v>147</v>
      </c>
      <c r="C697" s="3">
        <v>2</v>
      </c>
      <c r="D697" s="2">
        <v>1</v>
      </c>
      <c r="E697" s="2">
        <f t="shared" si="17"/>
        <v>3</v>
      </c>
      <c r="F697" s="9">
        <v>1.4492753623188406E-2</v>
      </c>
    </row>
    <row r="698" spans="2:6" x14ac:dyDescent="0.35">
      <c r="B698" s="4" t="s">
        <v>7</v>
      </c>
      <c r="C698" s="3">
        <v>1</v>
      </c>
      <c r="D698" s="2">
        <v>0</v>
      </c>
      <c r="E698" s="2">
        <f t="shared" si="17"/>
        <v>1</v>
      </c>
      <c r="F698" s="9">
        <v>4.830917874396135E-3</v>
      </c>
    </row>
    <row r="699" spans="2:6" x14ac:dyDescent="0.35">
      <c r="B699" s="4" t="s">
        <v>220</v>
      </c>
      <c r="C699" s="3">
        <v>1</v>
      </c>
      <c r="D699" s="2">
        <v>0</v>
      </c>
      <c r="E699" s="2">
        <f t="shared" si="17"/>
        <v>1</v>
      </c>
      <c r="F699" s="9">
        <v>4.830917874396135E-3</v>
      </c>
    </row>
    <row r="700" spans="2:6" x14ac:dyDescent="0.35">
      <c r="B700" s="4" t="s">
        <v>119</v>
      </c>
      <c r="C700" s="3">
        <v>1</v>
      </c>
      <c r="D700" s="2">
        <v>0</v>
      </c>
      <c r="E700" s="2">
        <f t="shared" si="17"/>
        <v>1</v>
      </c>
      <c r="F700" s="9">
        <v>4.830917874396135E-3</v>
      </c>
    </row>
    <row r="701" spans="2:6" x14ac:dyDescent="0.35">
      <c r="B701" s="4" t="s">
        <v>369</v>
      </c>
      <c r="C701" s="3">
        <v>1</v>
      </c>
      <c r="D701" s="2">
        <v>0</v>
      </c>
      <c r="E701" s="2">
        <f t="shared" si="17"/>
        <v>1</v>
      </c>
      <c r="F701" s="9">
        <v>4.830917874396135E-3</v>
      </c>
    </row>
    <row r="702" spans="2:6" x14ac:dyDescent="0.35">
      <c r="B702" s="4" t="s">
        <v>244</v>
      </c>
      <c r="C702" s="3">
        <v>1</v>
      </c>
      <c r="D702" s="2">
        <v>0</v>
      </c>
      <c r="E702" s="2">
        <f t="shared" si="17"/>
        <v>1</v>
      </c>
      <c r="F702" s="9">
        <v>4.830917874396135E-3</v>
      </c>
    </row>
    <row r="703" spans="2:6" x14ac:dyDescent="0.35">
      <c r="B703" s="4" t="s">
        <v>263</v>
      </c>
      <c r="C703" s="3">
        <v>1</v>
      </c>
      <c r="D703" s="2">
        <v>0</v>
      </c>
      <c r="E703" s="2">
        <f t="shared" si="17"/>
        <v>1</v>
      </c>
      <c r="F703" s="9">
        <v>4.830917874396135E-3</v>
      </c>
    </row>
    <row r="704" spans="2:6" x14ac:dyDescent="0.35">
      <c r="B704" s="4" t="s">
        <v>270</v>
      </c>
      <c r="C704" s="3">
        <v>1</v>
      </c>
      <c r="D704" s="2">
        <v>0</v>
      </c>
      <c r="E704" s="2">
        <f t="shared" si="17"/>
        <v>1</v>
      </c>
      <c r="F704" s="9">
        <v>4.830917874396135E-3</v>
      </c>
    </row>
    <row r="705" spans="2:6" x14ac:dyDescent="0.35">
      <c r="B705" s="4" t="s">
        <v>337</v>
      </c>
      <c r="C705" s="3">
        <v>1</v>
      </c>
      <c r="D705" s="2">
        <v>0</v>
      </c>
      <c r="E705" s="2">
        <f t="shared" si="17"/>
        <v>1</v>
      </c>
      <c r="F705" s="9">
        <v>4.830917874396135E-3</v>
      </c>
    </row>
    <row r="706" spans="2:6" x14ac:dyDescent="0.35">
      <c r="B706" s="4" t="s">
        <v>165</v>
      </c>
      <c r="C706" s="3">
        <v>1</v>
      </c>
      <c r="D706" s="2">
        <v>0</v>
      </c>
      <c r="E706" s="2">
        <f t="shared" si="17"/>
        <v>1</v>
      </c>
      <c r="F706" s="9">
        <v>4.830917874396135E-3</v>
      </c>
    </row>
    <row r="707" spans="2:6" x14ac:dyDescent="0.35">
      <c r="B707" s="4" t="s">
        <v>208</v>
      </c>
      <c r="C707" s="3">
        <v>1</v>
      </c>
      <c r="D707" s="2">
        <v>1</v>
      </c>
      <c r="E707" s="2">
        <f t="shared" si="17"/>
        <v>2</v>
      </c>
      <c r="F707" s="9">
        <v>9.6618357487922701E-3</v>
      </c>
    </row>
    <row r="708" spans="2:6" x14ac:dyDescent="0.35">
      <c r="B708" s="4" t="s">
        <v>213</v>
      </c>
      <c r="C708" s="3">
        <v>3</v>
      </c>
      <c r="D708" s="2">
        <v>0</v>
      </c>
      <c r="E708" s="2">
        <f t="shared" ref="E708:E771" si="19">C708+D708</f>
        <v>3</v>
      </c>
      <c r="F708" s="9">
        <v>1.4492753623188406E-2</v>
      </c>
    </row>
    <row r="709" spans="2:6" x14ac:dyDescent="0.35">
      <c r="B709" s="4" t="s">
        <v>256</v>
      </c>
      <c r="C709" s="3">
        <v>2</v>
      </c>
      <c r="D709" s="2">
        <v>0</v>
      </c>
      <c r="E709" s="2">
        <f t="shared" si="19"/>
        <v>2</v>
      </c>
      <c r="F709" s="9">
        <v>9.6618357487922701E-3</v>
      </c>
    </row>
    <row r="710" spans="2:6" x14ac:dyDescent="0.35">
      <c r="B710" s="4" t="s">
        <v>254</v>
      </c>
      <c r="C710" s="3">
        <v>2</v>
      </c>
      <c r="D710" s="2">
        <v>0</v>
      </c>
      <c r="E710" s="2">
        <f t="shared" si="19"/>
        <v>2</v>
      </c>
      <c r="F710" s="9">
        <v>9.6618357487922701E-3</v>
      </c>
    </row>
    <row r="711" spans="2:6" x14ac:dyDescent="0.35">
      <c r="B711" s="4" t="s">
        <v>384</v>
      </c>
      <c r="C711" s="3">
        <v>2</v>
      </c>
      <c r="D711" s="2">
        <v>0</v>
      </c>
      <c r="E711" s="2">
        <f t="shared" si="19"/>
        <v>2</v>
      </c>
      <c r="F711" s="9">
        <v>9.6618357487922701E-3</v>
      </c>
    </row>
    <row r="712" spans="2:6" x14ac:dyDescent="0.35">
      <c r="B712" s="4" t="s">
        <v>123</v>
      </c>
      <c r="C712" s="3">
        <v>1</v>
      </c>
      <c r="D712" s="2">
        <v>1</v>
      </c>
      <c r="E712" s="2">
        <f t="shared" si="19"/>
        <v>2</v>
      </c>
      <c r="F712" s="9">
        <v>9.6618357487922701E-3</v>
      </c>
    </row>
    <row r="713" spans="2:6" x14ac:dyDescent="0.35">
      <c r="B713" s="4" t="s">
        <v>361</v>
      </c>
      <c r="C713" s="3">
        <v>1</v>
      </c>
      <c r="D713" s="2">
        <v>0</v>
      </c>
      <c r="E713" s="2">
        <f t="shared" si="19"/>
        <v>1</v>
      </c>
      <c r="F713" s="9">
        <v>4.830917874396135E-3</v>
      </c>
    </row>
    <row r="714" spans="2:6" x14ac:dyDescent="0.35">
      <c r="B714" s="4" t="s">
        <v>311</v>
      </c>
      <c r="C714" s="3">
        <v>2</v>
      </c>
      <c r="D714" s="2">
        <v>0</v>
      </c>
      <c r="E714" s="2">
        <f t="shared" si="19"/>
        <v>2</v>
      </c>
      <c r="F714" s="9">
        <v>9.6618357487922701E-3</v>
      </c>
    </row>
    <row r="715" spans="2:6" x14ac:dyDescent="0.35">
      <c r="B715" s="4" t="s">
        <v>235</v>
      </c>
      <c r="C715" s="3">
        <v>2</v>
      </c>
      <c r="D715" s="2">
        <v>1</v>
      </c>
      <c r="E715" s="2">
        <f t="shared" si="19"/>
        <v>3</v>
      </c>
      <c r="F715" s="9">
        <v>1.4492753623188406E-2</v>
      </c>
    </row>
    <row r="716" spans="2:6" x14ac:dyDescent="0.35">
      <c r="B716" s="4" t="s">
        <v>313</v>
      </c>
      <c r="C716" s="3">
        <v>1</v>
      </c>
      <c r="D716" s="2">
        <v>0</v>
      </c>
      <c r="E716" s="2">
        <f t="shared" si="19"/>
        <v>1</v>
      </c>
      <c r="F716" s="9">
        <v>4.830917874396135E-3</v>
      </c>
    </row>
    <row r="717" spans="2:6" x14ac:dyDescent="0.35">
      <c r="B717" s="4" t="s">
        <v>253</v>
      </c>
      <c r="C717" s="3">
        <v>2</v>
      </c>
      <c r="D717" s="2">
        <v>1</v>
      </c>
      <c r="E717" s="2">
        <f t="shared" si="19"/>
        <v>3</v>
      </c>
      <c r="F717" s="9">
        <v>1.4492753623188406E-2</v>
      </c>
    </row>
    <row r="718" spans="2:6" x14ac:dyDescent="0.35">
      <c r="B718" s="4" t="s">
        <v>335</v>
      </c>
      <c r="C718" s="3">
        <v>1</v>
      </c>
      <c r="D718" s="2">
        <v>0</v>
      </c>
      <c r="E718" s="2">
        <f t="shared" si="19"/>
        <v>1</v>
      </c>
      <c r="F718" s="9">
        <v>4.830917874396135E-3</v>
      </c>
    </row>
    <row r="719" spans="2:6" x14ac:dyDescent="0.35">
      <c r="B719" s="4" t="s">
        <v>259</v>
      </c>
      <c r="C719" s="3">
        <v>3</v>
      </c>
      <c r="D719" s="2">
        <v>0</v>
      </c>
      <c r="E719" s="2">
        <f t="shared" si="19"/>
        <v>3</v>
      </c>
      <c r="F719" s="9">
        <v>1.4492753623188406E-2</v>
      </c>
    </row>
    <row r="720" spans="2:6" x14ac:dyDescent="0.35">
      <c r="B720" s="4" t="s">
        <v>77</v>
      </c>
      <c r="C720" s="3">
        <v>1</v>
      </c>
      <c r="D720" s="2">
        <v>0</v>
      </c>
      <c r="E720" s="2">
        <f t="shared" si="19"/>
        <v>1</v>
      </c>
      <c r="F720" s="9">
        <v>4.830917874396135E-3</v>
      </c>
    </row>
    <row r="721" spans="2:6" x14ac:dyDescent="0.35">
      <c r="B721" s="4" t="s">
        <v>387</v>
      </c>
      <c r="C721" s="3">
        <v>1</v>
      </c>
      <c r="D721" s="2">
        <v>0</v>
      </c>
      <c r="E721" s="2">
        <f t="shared" si="19"/>
        <v>1</v>
      </c>
      <c r="F721" s="9">
        <v>4.830917874396135E-3</v>
      </c>
    </row>
    <row r="722" spans="2:6" x14ac:dyDescent="0.35">
      <c r="B722" s="4" t="s">
        <v>206</v>
      </c>
      <c r="C722" s="3">
        <v>1</v>
      </c>
      <c r="D722" s="2">
        <v>0</v>
      </c>
      <c r="E722" s="2">
        <f t="shared" si="19"/>
        <v>1</v>
      </c>
      <c r="F722" s="9">
        <v>4.830917874396135E-3</v>
      </c>
    </row>
    <row r="723" spans="2:6" x14ac:dyDescent="0.35">
      <c r="B723" s="4" t="s">
        <v>265</v>
      </c>
      <c r="C723" s="3">
        <v>1</v>
      </c>
      <c r="D723" s="2">
        <v>0</v>
      </c>
      <c r="E723" s="2">
        <f t="shared" si="19"/>
        <v>1</v>
      </c>
      <c r="F723" s="9">
        <v>4.830917874396135E-3</v>
      </c>
    </row>
    <row r="724" spans="2:6" x14ac:dyDescent="0.35">
      <c r="B724" s="4" t="s">
        <v>130</v>
      </c>
      <c r="C724" s="3">
        <v>2</v>
      </c>
      <c r="D724" s="2">
        <v>0</v>
      </c>
      <c r="E724" s="2">
        <f t="shared" si="19"/>
        <v>2</v>
      </c>
      <c r="F724" s="9">
        <v>9.6618357487922701E-3</v>
      </c>
    </row>
    <row r="725" spans="2:6" x14ac:dyDescent="0.35">
      <c r="B725" s="4" t="s">
        <v>266</v>
      </c>
      <c r="C725" s="3">
        <v>2</v>
      </c>
      <c r="D725" s="2">
        <v>0</v>
      </c>
      <c r="E725" s="2">
        <f t="shared" si="19"/>
        <v>2</v>
      </c>
      <c r="F725" s="9">
        <v>9.6618357487922701E-3</v>
      </c>
    </row>
    <row r="726" spans="2:6" x14ac:dyDescent="0.35">
      <c r="B726" s="4" t="s">
        <v>251</v>
      </c>
      <c r="C726" s="3">
        <v>1</v>
      </c>
      <c r="D726" s="2">
        <v>0</v>
      </c>
      <c r="E726" s="2">
        <f t="shared" si="19"/>
        <v>1</v>
      </c>
      <c r="F726" s="9">
        <v>4.830917874396135E-3</v>
      </c>
    </row>
    <row r="727" spans="2:6" x14ac:dyDescent="0.35">
      <c r="B727" s="4" t="s">
        <v>197</v>
      </c>
      <c r="C727" s="3">
        <v>1</v>
      </c>
      <c r="D727" s="2">
        <v>0</v>
      </c>
      <c r="E727" s="2">
        <f t="shared" si="19"/>
        <v>1</v>
      </c>
      <c r="F727" s="9">
        <v>4.830917874396135E-3</v>
      </c>
    </row>
    <row r="728" spans="2:6" x14ac:dyDescent="0.35">
      <c r="B728" s="4" t="s">
        <v>285</v>
      </c>
      <c r="C728" s="3">
        <v>2</v>
      </c>
      <c r="D728" s="2">
        <v>0</v>
      </c>
      <c r="E728" s="2">
        <f t="shared" si="19"/>
        <v>2</v>
      </c>
      <c r="F728" s="9">
        <v>9.6618357487922701E-3</v>
      </c>
    </row>
    <row r="729" spans="2:6" x14ac:dyDescent="0.35">
      <c r="B729" s="4" t="s">
        <v>108</v>
      </c>
      <c r="C729" s="3">
        <v>1</v>
      </c>
      <c r="D729" s="2">
        <v>0</v>
      </c>
      <c r="E729" s="2">
        <f t="shared" si="19"/>
        <v>1</v>
      </c>
      <c r="F729" s="9">
        <v>4.830917874396135E-3</v>
      </c>
    </row>
    <row r="730" spans="2:6" x14ac:dyDescent="0.35">
      <c r="B730" s="4" t="s">
        <v>364</v>
      </c>
      <c r="C730" s="3">
        <v>1</v>
      </c>
      <c r="D730" s="2">
        <v>0</v>
      </c>
      <c r="E730" s="2">
        <f t="shared" si="19"/>
        <v>1</v>
      </c>
      <c r="F730" s="9">
        <v>4.830917874396135E-3</v>
      </c>
    </row>
    <row r="731" spans="2:6" x14ac:dyDescent="0.35">
      <c r="B731" s="4" t="s">
        <v>396</v>
      </c>
      <c r="C731" s="3">
        <v>1</v>
      </c>
      <c r="D731" s="2">
        <v>0</v>
      </c>
      <c r="E731" s="2">
        <f t="shared" si="19"/>
        <v>1</v>
      </c>
      <c r="F731" s="9">
        <v>4.830917874396135E-3</v>
      </c>
    </row>
    <row r="732" spans="2:6" x14ac:dyDescent="0.35">
      <c r="B732" s="4" t="s">
        <v>327</v>
      </c>
      <c r="C732" s="3">
        <v>1</v>
      </c>
      <c r="D732" s="2">
        <v>0</v>
      </c>
      <c r="E732" s="2">
        <f t="shared" si="19"/>
        <v>1</v>
      </c>
      <c r="F732" s="9">
        <v>4.830917874396135E-3</v>
      </c>
    </row>
    <row r="733" spans="2:6" x14ac:dyDescent="0.35">
      <c r="B733" s="4" t="s">
        <v>390</v>
      </c>
      <c r="C733" s="3">
        <v>1</v>
      </c>
      <c r="D733" s="2">
        <v>0</v>
      </c>
      <c r="E733" s="2">
        <f t="shared" si="19"/>
        <v>1</v>
      </c>
      <c r="F733" s="9">
        <v>4.830917874396135E-3</v>
      </c>
    </row>
    <row r="734" spans="2:6" x14ac:dyDescent="0.35">
      <c r="B734" s="4" t="s">
        <v>128</v>
      </c>
      <c r="C734" s="3">
        <v>2</v>
      </c>
      <c r="D734" s="2">
        <v>0</v>
      </c>
      <c r="E734" s="2">
        <f t="shared" si="19"/>
        <v>2</v>
      </c>
      <c r="F734" s="9">
        <v>9.6618357487922701E-3</v>
      </c>
    </row>
    <row r="735" spans="2:6" x14ac:dyDescent="0.35">
      <c r="B735" s="4" t="s">
        <v>187</v>
      </c>
      <c r="C735" s="3">
        <v>2</v>
      </c>
      <c r="D735" s="2">
        <v>1</v>
      </c>
      <c r="E735" s="2">
        <f t="shared" si="19"/>
        <v>3</v>
      </c>
      <c r="F735" s="9">
        <v>1.4492753623188406E-2</v>
      </c>
    </row>
    <row r="736" spans="2:6" x14ac:dyDescent="0.35">
      <c r="B736" s="4" t="s">
        <v>138</v>
      </c>
      <c r="C736" s="3">
        <v>1</v>
      </c>
      <c r="D736" s="2">
        <v>0</v>
      </c>
      <c r="E736" s="2">
        <f t="shared" si="19"/>
        <v>1</v>
      </c>
      <c r="F736" s="9">
        <v>4.830917874396135E-3</v>
      </c>
    </row>
    <row r="737" spans="2:6" x14ac:dyDescent="0.35">
      <c r="B737" s="4" t="s">
        <v>241</v>
      </c>
      <c r="C737" s="3">
        <v>1</v>
      </c>
      <c r="D737" s="2">
        <v>0</v>
      </c>
      <c r="E737" s="2">
        <f t="shared" si="19"/>
        <v>1</v>
      </c>
      <c r="F737" s="9">
        <v>4.830917874396135E-3</v>
      </c>
    </row>
    <row r="738" spans="2:6" x14ac:dyDescent="0.35">
      <c r="B738" s="4" t="s">
        <v>362</v>
      </c>
      <c r="C738" s="3">
        <v>1</v>
      </c>
      <c r="D738" s="2">
        <v>0</v>
      </c>
      <c r="E738" s="2">
        <f t="shared" si="19"/>
        <v>1</v>
      </c>
      <c r="F738" s="9">
        <v>4.830917874396135E-3</v>
      </c>
    </row>
    <row r="739" spans="2:6" x14ac:dyDescent="0.35">
      <c r="B739" s="4" t="s">
        <v>201</v>
      </c>
      <c r="C739" s="3">
        <v>1</v>
      </c>
      <c r="D739" s="2">
        <v>0</v>
      </c>
      <c r="E739" s="2">
        <f t="shared" si="19"/>
        <v>1</v>
      </c>
      <c r="F739" s="9">
        <v>4.830917874396135E-3</v>
      </c>
    </row>
    <row r="740" spans="2:6" x14ac:dyDescent="0.35">
      <c r="B740" s="4" t="s">
        <v>368</v>
      </c>
      <c r="C740" s="3">
        <v>1</v>
      </c>
      <c r="D740" s="2">
        <v>0</v>
      </c>
      <c r="E740" s="2">
        <f t="shared" si="19"/>
        <v>1</v>
      </c>
      <c r="F740" s="9">
        <v>4.830917874396135E-3</v>
      </c>
    </row>
    <row r="741" spans="2:6" x14ac:dyDescent="0.35">
      <c r="B741" s="4" t="s">
        <v>176</v>
      </c>
      <c r="C741" s="3">
        <v>1</v>
      </c>
      <c r="D741" s="2">
        <v>0</v>
      </c>
      <c r="E741" s="2">
        <f t="shared" si="19"/>
        <v>1</v>
      </c>
      <c r="F741" s="9">
        <v>4.830917874396135E-3</v>
      </c>
    </row>
    <row r="742" spans="2:6" x14ac:dyDescent="0.35">
      <c r="B742" s="4" t="s">
        <v>411</v>
      </c>
      <c r="C742" s="3">
        <v>1</v>
      </c>
      <c r="D742" s="2">
        <v>0</v>
      </c>
      <c r="E742" s="2">
        <f t="shared" si="19"/>
        <v>1</v>
      </c>
      <c r="F742" s="9">
        <v>4.830917874396135E-3</v>
      </c>
    </row>
    <row r="743" spans="2:6" x14ac:dyDescent="0.35">
      <c r="B743" s="4" t="s">
        <v>215</v>
      </c>
      <c r="C743" s="3">
        <v>2</v>
      </c>
      <c r="D743" s="2">
        <v>0</v>
      </c>
      <c r="E743" s="2">
        <f t="shared" si="19"/>
        <v>2</v>
      </c>
      <c r="F743" s="9">
        <v>9.6618357487922701E-3</v>
      </c>
    </row>
    <row r="744" spans="2:6" x14ac:dyDescent="0.35">
      <c r="B744" s="4" t="s">
        <v>255</v>
      </c>
      <c r="C744" s="3">
        <v>1</v>
      </c>
      <c r="D744" s="2">
        <v>1</v>
      </c>
      <c r="E744" s="2">
        <f t="shared" si="19"/>
        <v>2</v>
      </c>
      <c r="F744" s="9">
        <v>9.6618357487922701E-3</v>
      </c>
    </row>
    <row r="745" spans="2:6" x14ac:dyDescent="0.35">
      <c r="B745" s="4" t="s">
        <v>331</v>
      </c>
      <c r="C745" s="3">
        <v>1</v>
      </c>
      <c r="D745" s="2">
        <v>0</v>
      </c>
      <c r="E745" s="2">
        <f t="shared" si="19"/>
        <v>1</v>
      </c>
      <c r="F745" s="9">
        <v>4.830917874396135E-3</v>
      </c>
    </row>
    <row r="746" spans="2:6" x14ac:dyDescent="0.35">
      <c r="B746" s="4" t="s">
        <v>238</v>
      </c>
      <c r="C746" s="3">
        <v>1</v>
      </c>
      <c r="D746" s="2">
        <v>0</v>
      </c>
      <c r="E746" s="2">
        <f t="shared" si="19"/>
        <v>1</v>
      </c>
      <c r="F746" s="9">
        <v>4.830917874396135E-3</v>
      </c>
    </row>
    <row r="747" spans="2:6" x14ac:dyDescent="0.35">
      <c r="B747" s="4" t="s">
        <v>198</v>
      </c>
      <c r="C747" s="3">
        <v>3</v>
      </c>
      <c r="D747" s="2">
        <v>0</v>
      </c>
      <c r="E747" s="2">
        <f t="shared" si="19"/>
        <v>3</v>
      </c>
      <c r="F747" s="9">
        <v>1.4492753623188406E-2</v>
      </c>
    </row>
    <row r="748" spans="2:6" x14ac:dyDescent="0.35">
      <c r="B748" s="4" t="s">
        <v>296</v>
      </c>
      <c r="C748" s="3">
        <v>2</v>
      </c>
      <c r="D748" s="2">
        <v>0</v>
      </c>
      <c r="E748" s="2">
        <f t="shared" si="19"/>
        <v>2</v>
      </c>
      <c r="F748" s="9">
        <v>9.6618357487922701E-3</v>
      </c>
    </row>
    <row r="749" spans="2:6" x14ac:dyDescent="0.35">
      <c r="B749" s="4" t="s">
        <v>264</v>
      </c>
      <c r="C749" s="3">
        <v>1</v>
      </c>
      <c r="D749" s="2">
        <v>0</v>
      </c>
      <c r="E749" s="2">
        <f t="shared" si="19"/>
        <v>1</v>
      </c>
      <c r="F749" s="9">
        <v>4.830917874396135E-3</v>
      </c>
    </row>
    <row r="750" spans="2:6" x14ac:dyDescent="0.35">
      <c r="B750" s="4" t="s">
        <v>166</v>
      </c>
      <c r="C750" s="3">
        <v>1</v>
      </c>
      <c r="D750" s="2">
        <v>2</v>
      </c>
      <c r="E750" s="2">
        <f t="shared" si="19"/>
        <v>3</v>
      </c>
      <c r="F750" s="9">
        <v>1.4492753623188406E-2</v>
      </c>
    </row>
    <row r="751" spans="2:6" x14ac:dyDescent="0.35">
      <c r="B751" s="4" t="s">
        <v>137</v>
      </c>
      <c r="C751" s="3">
        <v>1</v>
      </c>
      <c r="D751" s="2">
        <v>0</v>
      </c>
      <c r="E751" s="2">
        <f t="shared" si="19"/>
        <v>1</v>
      </c>
      <c r="F751" s="9">
        <v>4.830917874396135E-3</v>
      </c>
    </row>
    <row r="752" spans="2:6" x14ac:dyDescent="0.35">
      <c r="B752" s="4" t="s">
        <v>136</v>
      </c>
      <c r="C752" s="3">
        <v>1</v>
      </c>
      <c r="D752" s="2">
        <v>0</v>
      </c>
      <c r="E752" s="2">
        <f t="shared" si="19"/>
        <v>1</v>
      </c>
      <c r="F752" s="9">
        <v>4.830917874396135E-3</v>
      </c>
    </row>
    <row r="753" spans="2:6" x14ac:dyDescent="0.35">
      <c r="B753" s="4" t="s">
        <v>126</v>
      </c>
      <c r="C753" s="3">
        <v>1</v>
      </c>
      <c r="D753" s="2">
        <v>0</v>
      </c>
      <c r="E753" s="2">
        <f t="shared" si="19"/>
        <v>1</v>
      </c>
      <c r="F753" s="9">
        <v>4.830917874396135E-3</v>
      </c>
    </row>
    <row r="754" spans="2:6" x14ac:dyDescent="0.35">
      <c r="B754" s="4" t="s">
        <v>318</v>
      </c>
      <c r="C754" s="3">
        <v>2</v>
      </c>
      <c r="D754" s="2">
        <v>0</v>
      </c>
      <c r="E754" s="2">
        <f t="shared" si="19"/>
        <v>2</v>
      </c>
      <c r="F754" s="9">
        <v>9.6618357487922701E-3</v>
      </c>
    </row>
    <row r="755" spans="2:6" x14ac:dyDescent="0.35">
      <c r="B755" s="4" t="s">
        <v>225</v>
      </c>
      <c r="C755" s="3">
        <v>2</v>
      </c>
      <c r="D755" s="2">
        <v>0</v>
      </c>
      <c r="E755" s="2">
        <f t="shared" si="19"/>
        <v>2</v>
      </c>
      <c r="F755" s="9">
        <v>9.6618357487922701E-3</v>
      </c>
    </row>
    <row r="756" spans="2:6" x14ac:dyDescent="0.35">
      <c r="B756" s="4" t="s">
        <v>278</v>
      </c>
      <c r="C756" s="3">
        <v>3</v>
      </c>
      <c r="D756" s="2">
        <v>0</v>
      </c>
      <c r="E756" s="2">
        <f t="shared" si="19"/>
        <v>3</v>
      </c>
      <c r="F756" s="9">
        <v>1.4492753623188406E-2</v>
      </c>
    </row>
    <row r="757" spans="2:6" x14ac:dyDescent="0.35">
      <c r="B757" s="4" t="s">
        <v>279</v>
      </c>
      <c r="C757" s="3">
        <v>1</v>
      </c>
      <c r="D757" s="2">
        <v>0</v>
      </c>
      <c r="E757" s="2">
        <f t="shared" si="19"/>
        <v>1</v>
      </c>
      <c r="F757" s="9">
        <v>4.830917874396135E-3</v>
      </c>
    </row>
    <row r="758" spans="2:6" x14ac:dyDescent="0.35">
      <c r="B758" s="4" t="s">
        <v>356</v>
      </c>
      <c r="C758" s="3">
        <v>2</v>
      </c>
      <c r="D758" s="2">
        <v>0</v>
      </c>
      <c r="E758" s="2">
        <f t="shared" si="19"/>
        <v>2</v>
      </c>
      <c r="F758" s="9">
        <v>9.6618357487922701E-3</v>
      </c>
    </row>
    <row r="759" spans="2:6" x14ac:dyDescent="0.35">
      <c r="B759" s="4" t="s">
        <v>148</v>
      </c>
      <c r="C759" s="3">
        <v>1</v>
      </c>
      <c r="D759" s="2">
        <v>0</v>
      </c>
      <c r="E759" s="2">
        <f t="shared" si="19"/>
        <v>1</v>
      </c>
      <c r="F759" s="9">
        <v>4.830917874396135E-3</v>
      </c>
    </row>
    <row r="760" spans="2:6" x14ac:dyDescent="0.35">
      <c r="B760" s="4" t="s">
        <v>284</v>
      </c>
      <c r="C760" s="3">
        <v>1</v>
      </c>
      <c r="D760" s="2">
        <v>0</v>
      </c>
      <c r="E760" s="2">
        <f t="shared" si="19"/>
        <v>1</v>
      </c>
      <c r="F760" s="9">
        <v>4.830917874396135E-3</v>
      </c>
    </row>
    <row r="761" spans="2:6" x14ac:dyDescent="0.35">
      <c r="B761" s="4" t="s">
        <v>293</v>
      </c>
      <c r="C761" s="3">
        <v>1</v>
      </c>
      <c r="D761" s="2">
        <v>1</v>
      </c>
      <c r="E761" s="2">
        <f t="shared" si="19"/>
        <v>2</v>
      </c>
      <c r="F761" s="9">
        <v>9.6618357487922701E-3</v>
      </c>
    </row>
    <row r="762" spans="2:6" x14ac:dyDescent="0.35">
      <c r="B762" s="4" t="s">
        <v>358</v>
      </c>
      <c r="C762" s="3">
        <v>1</v>
      </c>
      <c r="D762" s="2">
        <v>0</v>
      </c>
      <c r="E762" s="2">
        <f t="shared" si="19"/>
        <v>1</v>
      </c>
      <c r="F762" s="9">
        <v>4.830917874396135E-3</v>
      </c>
    </row>
    <row r="763" spans="2:6" x14ac:dyDescent="0.35">
      <c r="B763" s="4" t="s">
        <v>286</v>
      </c>
      <c r="C763" s="3">
        <v>1</v>
      </c>
      <c r="D763" s="2">
        <v>1</v>
      </c>
      <c r="E763" s="2">
        <f t="shared" si="19"/>
        <v>2</v>
      </c>
      <c r="F763" s="9">
        <v>9.6618357487922701E-3</v>
      </c>
    </row>
    <row r="764" spans="2:6" x14ac:dyDescent="0.35">
      <c r="B764" s="4" t="s">
        <v>193</v>
      </c>
      <c r="C764" s="3">
        <v>2</v>
      </c>
      <c r="D764" s="2">
        <v>0</v>
      </c>
      <c r="E764" s="2">
        <f t="shared" si="19"/>
        <v>2</v>
      </c>
      <c r="F764" s="9">
        <v>9.6618357487922701E-3</v>
      </c>
    </row>
    <row r="765" spans="2:6" x14ac:dyDescent="0.35">
      <c r="B765" s="4" t="s">
        <v>363</v>
      </c>
      <c r="C765" s="3">
        <v>2</v>
      </c>
      <c r="D765" s="2">
        <v>0</v>
      </c>
      <c r="E765" s="2">
        <f t="shared" si="19"/>
        <v>2</v>
      </c>
      <c r="F765" s="9">
        <v>9.6618357487922701E-3</v>
      </c>
    </row>
    <row r="766" spans="2:6" x14ac:dyDescent="0.35">
      <c r="B766" s="4" t="s">
        <v>342</v>
      </c>
      <c r="C766" s="3">
        <v>1</v>
      </c>
      <c r="D766" s="2">
        <v>0</v>
      </c>
      <c r="E766" s="2">
        <f t="shared" si="19"/>
        <v>1</v>
      </c>
      <c r="F766" s="9">
        <v>4.830917874396135E-3</v>
      </c>
    </row>
    <row r="767" spans="2:6" x14ac:dyDescent="0.35">
      <c r="B767" s="4" t="s">
        <v>205</v>
      </c>
      <c r="C767" s="3">
        <v>1</v>
      </c>
      <c r="D767" s="2">
        <v>1</v>
      </c>
      <c r="E767" s="2">
        <f t="shared" si="19"/>
        <v>2</v>
      </c>
      <c r="F767" s="9">
        <v>9.6618357487922701E-3</v>
      </c>
    </row>
    <row r="768" spans="2:6" x14ac:dyDescent="0.35">
      <c r="B768" s="4" t="s">
        <v>374</v>
      </c>
      <c r="C768" s="3">
        <v>1</v>
      </c>
      <c r="D768" s="2">
        <v>0</v>
      </c>
      <c r="E768" s="2">
        <f t="shared" si="19"/>
        <v>1</v>
      </c>
      <c r="F768" s="9">
        <v>4.830917874396135E-3</v>
      </c>
    </row>
    <row r="769" spans="2:6" x14ac:dyDescent="0.35">
      <c r="B769" s="4" t="s">
        <v>330</v>
      </c>
      <c r="C769" s="3">
        <v>1</v>
      </c>
      <c r="D769" s="2">
        <v>0</v>
      </c>
      <c r="E769" s="2">
        <f t="shared" si="19"/>
        <v>1</v>
      </c>
      <c r="F769" s="9">
        <v>4.830917874396135E-3</v>
      </c>
    </row>
    <row r="770" spans="2:6" x14ac:dyDescent="0.35">
      <c r="B770" s="4" t="s">
        <v>170</v>
      </c>
      <c r="C770" s="3">
        <v>2</v>
      </c>
      <c r="D770" s="2">
        <v>0</v>
      </c>
      <c r="E770" s="2">
        <f t="shared" si="19"/>
        <v>2</v>
      </c>
      <c r="F770" s="9">
        <v>9.6618357487922701E-3</v>
      </c>
    </row>
    <row r="771" spans="2:6" x14ac:dyDescent="0.35">
      <c r="B771" s="4" t="s">
        <v>175</v>
      </c>
      <c r="C771" s="3">
        <v>5</v>
      </c>
      <c r="D771" s="2">
        <v>0</v>
      </c>
      <c r="E771" s="2">
        <f t="shared" si="19"/>
        <v>5</v>
      </c>
      <c r="F771" s="9">
        <v>2.4154589371980676E-2</v>
      </c>
    </row>
    <row r="772" spans="2:6" x14ac:dyDescent="0.35">
      <c r="B772" s="4" t="s">
        <v>399</v>
      </c>
      <c r="C772" s="3">
        <v>2</v>
      </c>
      <c r="D772" s="2">
        <v>0</v>
      </c>
      <c r="E772" s="2">
        <f t="shared" ref="E772:E835" si="20">C772+D772</f>
        <v>2</v>
      </c>
      <c r="F772" s="9">
        <v>9.6618357487922701E-3</v>
      </c>
    </row>
    <row r="773" spans="2:6" x14ac:dyDescent="0.35">
      <c r="B773" s="4" t="s">
        <v>405</v>
      </c>
      <c r="C773" s="3">
        <v>1</v>
      </c>
      <c r="D773" s="2">
        <v>0</v>
      </c>
      <c r="E773" s="2">
        <f t="shared" si="20"/>
        <v>1</v>
      </c>
      <c r="F773" s="9">
        <v>4.830917874396135E-3</v>
      </c>
    </row>
    <row r="774" spans="2:6" x14ac:dyDescent="0.35">
      <c r="B774" s="4" t="s">
        <v>240</v>
      </c>
      <c r="C774" s="3">
        <v>1</v>
      </c>
      <c r="D774" s="2">
        <v>0</v>
      </c>
      <c r="E774" s="2">
        <f t="shared" si="20"/>
        <v>1</v>
      </c>
      <c r="F774" s="9">
        <v>4.830917874396135E-3</v>
      </c>
    </row>
    <row r="775" spans="2:6" x14ac:dyDescent="0.35">
      <c r="B775" s="4" t="s">
        <v>306</v>
      </c>
      <c r="C775" s="3">
        <v>2</v>
      </c>
      <c r="D775" s="2">
        <v>0</v>
      </c>
      <c r="E775" s="2">
        <f t="shared" si="20"/>
        <v>2</v>
      </c>
      <c r="F775" s="9">
        <v>9.6618357487922701E-3</v>
      </c>
    </row>
    <row r="776" spans="2:6" x14ac:dyDescent="0.35">
      <c r="B776" s="4" t="s">
        <v>66</v>
      </c>
      <c r="C776" s="3">
        <v>1</v>
      </c>
      <c r="D776" s="2">
        <v>0</v>
      </c>
      <c r="E776" s="2">
        <f t="shared" si="20"/>
        <v>1</v>
      </c>
      <c r="F776" s="9">
        <v>4.830917874396135E-3</v>
      </c>
    </row>
    <row r="777" spans="2:6" x14ac:dyDescent="0.35">
      <c r="B777" s="4" t="s">
        <v>303</v>
      </c>
      <c r="C777" s="3">
        <v>2</v>
      </c>
      <c r="D777" s="2">
        <v>0</v>
      </c>
      <c r="E777" s="2">
        <f t="shared" si="20"/>
        <v>2</v>
      </c>
      <c r="F777" s="9">
        <v>9.6618357487922701E-3</v>
      </c>
    </row>
    <row r="778" spans="2:6" x14ac:dyDescent="0.35">
      <c r="B778" s="4" t="s">
        <v>149</v>
      </c>
      <c r="C778" s="3">
        <v>3</v>
      </c>
      <c r="D778" s="2">
        <v>0</v>
      </c>
      <c r="E778" s="2">
        <f t="shared" si="20"/>
        <v>3</v>
      </c>
      <c r="F778" s="9">
        <v>1.4492753623188406E-2</v>
      </c>
    </row>
    <row r="779" spans="2:6" x14ac:dyDescent="0.35">
      <c r="B779" s="4" t="s">
        <v>157</v>
      </c>
      <c r="C779" s="3">
        <v>1</v>
      </c>
      <c r="D779" s="2">
        <v>0</v>
      </c>
      <c r="E779" s="2">
        <f t="shared" si="20"/>
        <v>1</v>
      </c>
      <c r="F779" s="9">
        <v>4.830917874396135E-3</v>
      </c>
    </row>
    <row r="780" spans="2:6" x14ac:dyDescent="0.35">
      <c r="B780" s="4" t="s">
        <v>320</v>
      </c>
      <c r="C780" s="3">
        <v>1</v>
      </c>
      <c r="D780" s="2">
        <v>0</v>
      </c>
      <c r="E780" s="2">
        <f t="shared" si="20"/>
        <v>1</v>
      </c>
      <c r="F780" s="9">
        <v>4.830917874396135E-3</v>
      </c>
    </row>
    <row r="781" spans="2:6" x14ac:dyDescent="0.35">
      <c r="B781" s="4" t="s">
        <v>219</v>
      </c>
      <c r="C781" s="3">
        <v>4</v>
      </c>
      <c r="D781" s="2">
        <v>0</v>
      </c>
      <c r="E781" s="2">
        <f t="shared" si="20"/>
        <v>4</v>
      </c>
      <c r="F781" s="9">
        <v>1.932367149758454E-2</v>
      </c>
    </row>
    <row r="782" spans="2:6" x14ac:dyDescent="0.35">
      <c r="B782" s="4" t="s">
        <v>324</v>
      </c>
      <c r="C782" s="3">
        <v>2</v>
      </c>
      <c r="D782" s="2">
        <v>0</v>
      </c>
      <c r="E782" s="2">
        <f t="shared" si="20"/>
        <v>2</v>
      </c>
      <c r="F782" s="9">
        <v>9.6618357487922701E-3</v>
      </c>
    </row>
    <row r="783" spans="2:6" x14ac:dyDescent="0.35">
      <c r="B783" s="4" t="s">
        <v>371</v>
      </c>
      <c r="C783" s="3">
        <v>1</v>
      </c>
      <c r="D783" s="2">
        <v>0</v>
      </c>
      <c r="E783" s="2">
        <f t="shared" si="20"/>
        <v>1</v>
      </c>
      <c r="F783" s="9">
        <v>4.830917874396135E-3</v>
      </c>
    </row>
    <row r="784" spans="2:6" x14ac:dyDescent="0.35">
      <c r="B784" s="4" t="s">
        <v>182</v>
      </c>
      <c r="C784" s="3">
        <v>1</v>
      </c>
      <c r="D784" s="2">
        <v>0</v>
      </c>
      <c r="E784" s="2">
        <f t="shared" si="20"/>
        <v>1</v>
      </c>
      <c r="F784" s="9">
        <v>4.830917874396135E-3</v>
      </c>
    </row>
    <row r="785" spans="2:6" x14ac:dyDescent="0.35">
      <c r="B785" s="4" t="s">
        <v>282</v>
      </c>
      <c r="C785" s="3">
        <v>1</v>
      </c>
      <c r="D785" s="2">
        <v>1</v>
      </c>
      <c r="E785" s="2">
        <f t="shared" si="20"/>
        <v>2</v>
      </c>
      <c r="F785" s="9">
        <v>9.6618357487922701E-3</v>
      </c>
    </row>
    <row r="786" spans="2:6" x14ac:dyDescent="0.35">
      <c r="B786" s="4" t="s">
        <v>310</v>
      </c>
      <c r="C786" s="3">
        <v>1</v>
      </c>
      <c r="D786" s="2">
        <v>0</v>
      </c>
      <c r="E786" s="2">
        <f t="shared" si="20"/>
        <v>1</v>
      </c>
      <c r="F786" s="9">
        <v>4.830917874396135E-3</v>
      </c>
    </row>
    <row r="787" spans="2:6" x14ac:dyDescent="0.35">
      <c r="B787" s="4" t="s">
        <v>228</v>
      </c>
      <c r="C787" s="3">
        <v>2</v>
      </c>
      <c r="D787" s="2">
        <v>0</v>
      </c>
      <c r="E787" s="2">
        <f t="shared" si="20"/>
        <v>2</v>
      </c>
      <c r="F787" s="9">
        <v>9.6618357487922701E-3</v>
      </c>
    </row>
    <row r="788" spans="2:6" x14ac:dyDescent="0.35">
      <c r="B788" s="4" t="s">
        <v>261</v>
      </c>
      <c r="C788" s="3">
        <v>2</v>
      </c>
      <c r="D788" s="2">
        <v>0</v>
      </c>
      <c r="E788" s="2">
        <f t="shared" si="20"/>
        <v>2</v>
      </c>
      <c r="F788" s="9">
        <v>9.6618357487922701E-3</v>
      </c>
    </row>
    <row r="789" spans="2:6" x14ac:dyDescent="0.35">
      <c r="B789" s="4" t="s">
        <v>307</v>
      </c>
      <c r="C789" s="3">
        <v>2</v>
      </c>
      <c r="D789" s="2">
        <v>1</v>
      </c>
      <c r="E789" s="2">
        <f t="shared" si="20"/>
        <v>3</v>
      </c>
      <c r="F789" s="9">
        <v>1.4492753623188406E-2</v>
      </c>
    </row>
    <row r="790" spans="2:6" x14ac:dyDescent="0.35">
      <c r="B790" s="4" t="s">
        <v>179</v>
      </c>
      <c r="C790" s="3">
        <v>1</v>
      </c>
      <c r="D790" s="2">
        <v>0</v>
      </c>
      <c r="E790" s="2">
        <f t="shared" si="20"/>
        <v>1</v>
      </c>
      <c r="F790" s="9">
        <v>4.830917874396135E-3</v>
      </c>
    </row>
    <row r="791" spans="2:6" x14ac:dyDescent="0.35">
      <c r="B791" s="4" t="s">
        <v>300</v>
      </c>
      <c r="C791" s="3">
        <v>1</v>
      </c>
      <c r="D791" s="2">
        <v>0</v>
      </c>
      <c r="E791" s="2">
        <f t="shared" si="20"/>
        <v>1</v>
      </c>
      <c r="F791" s="9">
        <v>4.830917874396135E-3</v>
      </c>
    </row>
    <row r="792" spans="2:6" x14ac:dyDescent="0.35">
      <c r="B792" s="4" t="s">
        <v>186</v>
      </c>
      <c r="C792" s="3">
        <v>3</v>
      </c>
      <c r="D792" s="2">
        <v>0</v>
      </c>
      <c r="E792" s="2">
        <f t="shared" si="20"/>
        <v>3</v>
      </c>
      <c r="F792" s="9">
        <v>1.4492753623188406E-2</v>
      </c>
    </row>
    <row r="793" spans="2:6" x14ac:dyDescent="0.35">
      <c r="B793" s="4" t="s">
        <v>188</v>
      </c>
      <c r="C793" s="3">
        <v>1</v>
      </c>
      <c r="D793" s="2">
        <v>0</v>
      </c>
      <c r="E793" s="2">
        <f t="shared" si="20"/>
        <v>1</v>
      </c>
      <c r="F793" s="9">
        <v>4.830917874396135E-3</v>
      </c>
    </row>
    <row r="794" spans="2:6" x14ac:dyDescent="0.35">
      <c r="B794" s="4" t="s">
        <v>70</v>
      </c>
      <c r="C794" s="3">
        <v>1</v>
      </c>
      <c r="D794" s="2">
        <v>0</v>
      </c>
      <c r="E794" s="2">
        <f t="shared" si="20"/>
        <v>1</v>
      </c>
      <c r="F794" s="9">
        <v>4.830917874396135E-3</v>
      </c>
    </row>
    <row r="795" spans="2:6" x14ac:dyDescent="0.35">
      <c r="B795" s="4" t="s">
        <v>407</v>
      </c>
      <c r="C795" s="3">
        <v>2</v>
      </c>
      <c r="D795" s="2">
        <v>0</v>
      </c>
      <c r="E795" s="2">
        <f t="shared" si="20"/>
        <v>2</v>
      </c>
      <c r="F795" s="9">
        <v>9.6618357487922701E-3</v>
      </c>
    </row>
    <row r="796" spans="2:6" x14ac:dyDescent="0.35">
      <c r="B796" s="4" t="s">
        <v>242</v>
      </c>
      <c r="C796" s="3">
        <v>1</v>
      </c>
      <c r="D796" s="2">
        <v>3</v>
      </c>
      <c r="E796" s="2">
        <f t="shared" si="20"/>
        <v>4</v>
      </c>
      <c r="F796" s="9">
        <v>1.932367149758454E-2</v>
      </c>
    </row>
    <row r="797" spans="2:6" x14ac:dyDescent="0.35">
      <c r="B797" s="4" t="s">
        <v>248</v>
      </c>
      <c r="C797" s="3">
        <v>1</v>
      </c>
      <c r="D797" s="2">
        <v>0</v>
      </c>
      <c r="E797" s="2">
        <f t="shared" si="20"/>
        <v>1</v>
      </c>
      <c r="F797" s="9">
        <v>4.830917874396135E-3</v>
      </c>
    </row>
    <row r="798" spans="2:6" x14ac:dyDescent="0.35">
      <c r="B798" s="4" t="s">
        <v>230</v>
      </c>
      <c r="C798" s="3">
        <v>2</v>
      </c>
      <c r="D798" s="2">
        <v>0</v>
      </c>
      <c r="E798" s="2">
        <f t="shared" si="20"/>
        <v>2</v>
      </c>
      <c r="F798" s="9">
        <v>9.6618357487922701E-3</v>
      </c>
    </row>
    <row r="799" spans="2:6" x14ac:dyDescent="0.35">
      <c r="B799" s="4" t="s">
        <v>417</v>
      </c>
      <c r="C799" s="3">
        <v>1</v>
      </c>
      <c r="D799" s="2">
        <v>0</v>
      </c>
      <c r="E799" s="2">
        <f t="shared" si="20"/>
        <v>1</v>
      </c>
      <c r="F799" s="9">
        <v>4.830917874396135E-3</v>
      </c>
    </row>
    <row r="800" spans="2:6" x14ac:dyDescent="0.35">
      <c r="B800" s="4" t="s">
        <v>224</v>
      </c>
      <c r="C800" s="3">
        <v>2</v>
      </c>
      <c r="D800" s="2">
        <v>0</v>
      </c>
      <c r="E800" s="2">
        <f t="shared" si="20"/>
        <v>2</v>
      </c>
      <c r="F800" s="9">
        <v>9.6618357487922701E-3</v>
      </c>
    </row>
    <row r="801" spans="1:6" x14ac:dyDescent="0.35">
      <c r="B801" s="4" t="s">
        <v>90</v>
      </c>
      <c r="C801" s="3">
        <v>2</v>
      </c>
      <c r="D801" s="2">
        <v>2</v>
      </c>
      <c r="E801" s="2">
        <f t="shared" si="20"/>
        <v>4</v>
      </c>
      <c r="F801" s="9">
        <v>1.932367149758454E-2</v>
      </c>
    </row>
    <row r="802" spans="1:6" x14ac:dyDescent="0.35">
      <c r="B802" s="4" t="s">
        <v>354</v>
      </c>
      <c r="C802" s="3">
        <v>2</v>
      </c>
      <c r="D802" s="2">
        <v>0</v>
      </c>
      <c r="E802" s="2">
        <f t="shared" si="20"/>
        <v>2</v>
      </c>
      <c r="F802" s="9">
        <v>9.6618357487922701E-3</v>
      </c>
    </row>
    <row r="803" spans="1:6" x14ac:dyDescent="0.35">
      <c r="A803" s="17" t="s">
        <v>467</v>
      </c>
      <c r="B803" s="12" t="s">
        <v>462</v>
      </c>
      <c r="C803" s="13">
        <f>SUM(C804:C924)</f>
        <v>180</v>
      </c>
      <c r="D803" s="13">
        <f t="shared" ref="D803:E803" si="21">SUM(D804:D924)</f>
        <v>28</v>
      </c>
      <c r="E803" s="13">
        <f t="shared" si="21"/>
        <v>208</v>
      </c>
      <c r="F803" s="12"/>
    </row>
    <row r="804" spans="1:6" x14ac:dyDescent="0.35">
      <c r="B804" s="4" t="s">
        <v>38</v>
      </c>
      <c r="C804" s="3">
        <v>1</v>
      </c>
      <c r="D804" s="2">
        <v>0</v>
      </c>
      <c r="E804" s="2">
        <f t="shared" si="20"/>
        <v>1</v>
      </c>
      <c r="F804" s="9">
        <v>4.807692307692308E-3</v>
      </c>
    </row>
    <row r="805" spans="1:6" x14ac:dyDescent="0.35">
      <c r="B805" s="4" t="s">
        <v>257</v>
      </c>
      <c r="C805" s="3">
        <v>1</v>
      </c>
      <c r="D805" s="2">
        <v>1</v>
      </c>
      <c r="E805" s="2">
        <f t="shared" si="20"/>
        <v>2</v>
      </c>
      <c r="F805" s="9">
        <v>9.6153846153846159E-3</v>
      </c>
    </row>
    <row r="806" spans="1:6" x14ac:dyDescent="0.35">
      <c r="B806" s="4" t="s">
        <v>161</v>
      </c>
      <c r="C806" s="3">
        <v>1</v>
      </c>
      <c r="D806" s="2">
        <v>0</v>
      </c>
      <c r="E806" s="2">
        <f t="shared" si="20"/>
        <v>1</v>
      </c>
      <c r="F806" s="9">
        <v>4.807692307692308E-3</v>
      </c>
    </row>
    <row r="807" spans="1:6" x14ac:dyDescent="0.35">
      <c r="B807" s="4" t="s">
        <v>340</v>
      </c>
      <c r="C807" s="3">
        <v>1</v>
      </c>
      <c r="D807" s="2">
        <v>0</v>
      </c>
      <c r="E807" s="2">
        <f t="shared" si="20"/>
        <v>1</v>
      </c>
      <c r="F807" s="9">
        <v>4.807692307692308E-3</v>
      </c>
    </row>
    <row r="808" spans="1:6" x14ac:dyDescent="0.35">
      <c r="B808" s="4" t="s">
        <v>262</v>
      </c>
      <c r="C808" s="3">
        <v>1</v>
      </c>
      <c r="D808" s="2">
        <v>0</v>
      </c>
      <c r="E808" s="2">
        <f t="shared" si="20"/>
        <v>1</v>
      </c>
      <c r="F808" s="9">
        <v>4.807692307692308E-3</v>
      </c>
    </row>
    <row r="809" spans="1:6" x14ac:dyDescent="0.35">
      <c r="B809" s="4" t="s">
        <v>218</v>
      </c>
      <c r="C809" s="3">
        <v>2</v>
      </c>
      <c r="D809" s="2">
        <v>0</v>
      </c>
      <c r="E809" s="2">
        <f t="shared" si="20"/>
        <v>2</v>
      </c>
      <c r="F809" s="9">
        <v>9.6153846153846159E-3</v>
      </c>
    </row>
    <row r="810" spans="1:6" x14ac:dyDescent="0.35">
      <c r="B810" s="4" t="s">
        <v>35</v>
      </c>
      <c r="C810" s="3">
        <v>1</v>
      </c>
      <c r="D810" s="2">
        <v>0</v>
      </c>
      <c r="E810" s="2">
        <f t="shared" si="20"/>
        <v>1</v>
      </c>
      <c r="F810" s="9">
        <v>4.807692307692308E-3</v>
      </c>
    </row>
    <row r="811" spans="1:6" x14ac:dyDescent="0.35">
      <c r="B811" s="4" t="s">
        <v>247</v>
      </c>
      <c r="C811" s="3">
        <v>1</v>
      </c>
      <c r="D811" s="2">
        <v>0</v>
      </c>
      <c r="E811" s="2">
        <f t="shared" si="20"/>
        <v>1</v>
      </c>
      <c r="F811" s="9">
        <v>4.807692307692308E-3</v>
      </c>
    </row>
    <row r="812" spans="1:6" x14ac:dyDescent="0.35">
      <c r="B812" s="4" t="s">
        <v>288</v>
      </c>
      <c r="C812" s="3">
        <v>1</v>
      </c>
      <c r="D812" s="2">
        <v>0</v>
      </c>
      <c r="E812" s="2">
        <f t="shared" si="20"/>
        <v>1</v>
      </c>
      <c r="F812" s="9">
        <v>4.807692307692308E-3</v>
      </c>
    </row>
    <row r="813" spans="1:6" x14ac:dyDescent="0.35">
      <c r="B813" s="4" t="s">
        <v>245</v>
      </c>
      <c r="C813" s="3">
        <v>2</v>
      </c>
      <c r="D813" s="2">
        <v>0</v>
      </c>
      <c r="E813" s="2">
        <f t="shared" si="20"/>
        <v>2</v>
      </c>
      <c r="F813" s="9">
        <v>9.6153846153846159E-3</v>
      </c>
    </row>
    <row r="814" spans="1:6" x14ac:dyDescent="0.35">
      <c r="B814" s="4" t="s">
        <v>287</v>
      </c>
      <c r="C814" s="3">
        <v>2</v>
      </c>
      <c r="D814" s="2">
        <v>0</v>
      </c>
      <c r="E814" s="2">
        <f t="shared" si="20"/>
        <v>2</v>
      </c>
      <c r="F814" s="9">
        <v>9.6153846153846159E-3</v>
      </c>
    </row>
    <row r="815" spans="1:6" x14ac:dyDescent="0.35">
      <c r="B815" s="4" t="s">
        <v>146</v>
      </c>
      <c r="C815" s="3">
        <v>1</v>
      </c>
      <c r="D815" s="2">
        <v>0</v>
      </c>
      <c r="E815" s="2">
        <f t="shared" si="20"/>
        <v>1</v>
      </c>
      <c r="F815" s="9">
        <v>4.807692307692308E-3</v>
      </c>
    </row>
    <row r="816" spans="1:6" x14ac:dyDescent="0.35">
      <c r="B816" s="4" t="s">
        <v>341</v>
      </c>
      <c r="C816" s="3">
        <v>2</v>
      </c>
      <c r="D816" s="2">
        <v>0</v>
      </c>
      <c r="E816" s="2">
        <f t="shared" si="20"/>
        <v>2</v>
      </c>
      <c r="F816" s="9">
        <v>9.6153846153846159E-3</v>
      </c>
    </row>
    <row r="817" spans="2:6" x14ac:dyDescent="0.35">
      <c r="B817" s="4" t="s">
        <v>109</v>
      </c>
      <c r="C817" s="3">
        <v>4</v>
      </c>
      <c r="D817" s="2">
        <v>0</v>
      </c>
      <c r="E817" s="2">
        <f t="shared" si="20"/>
        <v>4</v>
      </c>
      <c r="F817" s="9">
        <v>1.9230769230769232E-2</v>
      </c>
    </row>
    <row r="818" spans="2:6" x14ac:dyDescent="0.35">
      <c r="B818" s="4" t="s">
        <v>302</v>
      </c>
      <c r="C818" s="3">
        <v>4</v>
      </c>
      <c r="D818" s="2">
        <v>0</v>
      </c>
      <c r="E818" s="2">
        <f t="shared" si="20"/>
        <v>4</v>
      </c>
      <c r="F818" s="9">
        <v>1.9230769230769232E-2</v>
      </c>
    </row>
    <row r="819" spans="2:6" x14ac:dyDescent="0.35">
      <c r="B819" s="4" t="s">
        <v>222</v>
      </c>
      <c r="C819" s="3">
        <v>1</v>
      </c>
      <c r="D819" s="2">
        <v>1</v>
      </c>
      <c r="E819" s="2">
        <f t="shared" si="20"/>
        <v>2</v>
      </c>
      <c r="F819" s="9">
        <v>9.6153846153846159E-3</v>
      </c>
    </row>
    <row r="820" spans="2:6" x14ac:dyDescent="0.35">
      <c r="B820" s="4" t="s">
        <v>223</v>
      </c>
      <c r="C820" s="3">
        <v>1</v>
      </c>
      <c r="D820" s="2">
        <v>0</v>
      </c>
      <c r="E820" s="2">
        <f t="shared" si="20"/>
        <v>1</v>
      </c>
      <c r="F820" s="9">
        <v>4.807692307692308E-3</v>
      </c>
    </row>
    <row r="821" spans="2:6" x14ac:dyDescent="0.35">
      <c r="B821" s="4" t="s">
        <v>299</v>
      </c>
      <c r="C821" s="3">
        <v>2</v>
      </c>
      <c r="D821" s="2">
        <v>0</v>
      </c>
      <c r="E821" s="2">
        <f t="shared" si="20"/>
        <v>2</v>
      </c>
      <c r="F821" s="9">
        <v>9.6153846153846159E-3</v>
      </c>
    </row>
    <row r="822" spans="2:6" x14ac:dyDescent="0.35">
      <c r="B822" s="4" t="s">
        <v>281</v>
      </c>
      <c r="C822" s="3">
        <v>1</v>
      </c>
      <c r="D822" s="2">
        <v>0</v>
      </c>
      <c r="E822" s="2">
        <f t="shared" si="20"/>
        <v>1</v>
      </c>
      <c r="F822" s="9">
        <v>4.807692307692308E-3</v>
      </c>
    </row>
    <row r="823" spans="2:6" x14ac:dyDescent="0.35">
      <c r="B823" s="4" t="s">
        <v>378</v>
      </c>
      <c r="C823" s="3">
        <v>2</v>
      </c>
      <c r="D823" s="2">
        <v>0</v>
      </c>
      <c r="E823" s="2">
        <f t="shared" si="20"/>
        <v>2</v>
      </c>
      <c r="F823" s="9">
        <v>9.6153846153846159E-3</v>
      </c>
    </row>
    <row r="824" spans="2:6" x14ac:dyDescent="0.35">
      <c r="B824" s="4" t="s">
        <v>250</v>
      </c>
      <c r="C824" s="3">
        <v>1</v>
      </c>
      <c r="D824" s="2">
        <v>0</v>
      </c>
      <c r="E824" s="2">
        <f t="shared" si="20"/>
        <v>1</v>
      </c>
      <c r="F824" s="9">
        <v>4.807692307692308E-3</v>
      </c>
    </row>
    <row r="825" spans="2:6" x14ac:dyDescent="0.35">
      <c r="B825" s="4" t="s">
        <v>267</v>
      </c>
      <c r="C825" s="3">
        <v>2</v>
      </c>
      <c r="D825" s="2">
        <v>1</v>
      </c>
      <c r="E825" s="2">
        <f t="shared" si="20"/>
        <v>3</v>
      </c>
      <c r="F825" s="9">
        <v>1.4423076923076924E-2</v>
      </c>
    </row>
    <row r="826" spans="2:6" x14ac:dyDescent="0.35">
      <c r="B826" s="4" t="s">
        <v>382</v>
      </c>
      <c r="C826" s="3">
        <v>2</v>
      </c>
      <c r="D826" s="2">
        <v>0</v>
      </c>
      <c r="E826" s="2">
        <f t="shared" si="20"/>
        <v>2</v>
      </c>
      <c r="F826" s="9">
        <v>9.6153846153846159E-3</v>
      </c>
    </row>
    <row r="827" spans="2:6" x14ac:dyDescent="0.35">
      <c r="B827" s="4" t="s">
        <v>85</v>
      </c>
      <c r="C827" s="3">
        <v>1</v>
      </c>
      <c r="D827" s="2">
        <v>0</v>
      </c>
      <c r="E827" s="2">
        <f t="shared" si="20"/>
        <v>1</v>
      </c>
      <c r="F827" s="9">
        <v>4.807692307692308E-3</v>
      </c>
    </row>
    <row r="828" spans="2:6" x14ac:dyDescent="0.35">
      <c r="B828" s="4" t="s">
        <v>345</v>
      </c>
      <c r="C828" s="3">
        <v>2</v>
      </c>
      <c r="D828" s="2">
        <v>0</v>
      </c>
      <c r="E828" s="2">
        <f t="shared" si="20"/>
        <v>2</v>
      </c>
      <c r="F828" s="9">
        <v>9.6153846153846159E-3</v>
      </c>
    </row>
    <row r="829" spans="2:6" x14ac:dyDescent="0.35">
      <c r="B829" s="4" t="s">
        <v>408</v>
      </c>
      <c r="C829" s="3">
        <v>1</v>
      </c>
      <c r="D829" s="2">
        <v>0</v>
      </c>
      <c r="E829" s="2">
        <f t="shared" si="20"/>
        <v>1</v>
      </c>
      <c r="F829" s="9">
        <v>4.807692307692308E-3</v>
      </c>
    </row>
    <row r="830" spans="2:6" x14ac:dyDescent="0.35">
      <c r="B830" s="4" t="s">
        <v>131</v>
      </c>
      <c r="C830" s="3">
        <v>1</v>
      </c>
      <c r="D830" s="2">
        <v>0</v>
      </c>
      <c r="E830" s="2">
        <f t="shared" si="20"/>
        <v>1</v>
      </c>
      <c r="F830" s="9">
        <v>4.807692307692308E-3</v>
      </c>
    </row>
    <row r="831" spans="2:6" x14ac:dyDescent="0.35">
      <c r="B831" s="4" t="s">
        <v>119</v>
      </c>
      <c r="C831" s="3">
        <v>1</v>
      </c>
      <c r="D831" s="2">
        <v>0</v>
      </c>
      <c r="E831" s="2">
        <f t="shared" si="20"/>
        <v>1</v>
      </c>
      <c r="F831" s="9">
        <v>4.807692307692308E-3</v>
      </c>
    </row>
    <row r="832" spans="2:6" x14ac:dyDescent="0.35">
      <c r="B832" s="4" t="s">
        <v>173</v>
      </c>
      <c r="C832" s="3">
        <v>2</v>
      </c>
      <c r="D832" s="2">
        <v>0</v>
      </c>
      <c r="E832" s="2">
        <f t="shared" si="20"/>
        <v>2</v>
      </c>
      <c r="F832" s="9">
        <v>9.6153846153846159E-3</v>
      </c>
    </row>
    <row r="833" spans="2:6" x14ac:dyDescent="0.35">
      <c r="B833" s="4" t="s">
        <v>373</v>
      </c>
      <c r="C833" s="3">
        <v>1</v>
      </c>
      <c r="D833" s="2">
        <v>0</v>
      </c>
      <c r="E833" s="2">
        <f t="shared" si="20"/>
        <v>1</v>
      </c>
      <c r="F833" s="9">
        <v>4.807692307692308E-3</v>
      </c>
    </row>
    <row r="834" spans="2:6" x14ac:dyDescent="0.35">
      <c r="B834" s="4" t="s">
        <v>263</v>
      </c>
      <c r="C834" s="3">
        <v>2</v>
      </c>
      <c r="D834" s="2">
        <v>1</v>
      </c>
      <c r="E834" s="2">
        <f t="shared" si="20"/>
        <v>3</v>
      </c>
      <c r="F834" s="9">
        <v>1.4423076923076924E-2</v>
      </c>
    </row>
    <row r="835" spans="2:6" x14ac:dyDescent="0.35">
      <c r="B835" s="4" t="s">
        <v>270</v>
      </c>
      <c r="C835" s="3">
        <v>2</v>
      </c>
      <c r="D835" s="2">
        <v>1</v>
      </c>
      <c r="E835" s="2">
        <f t="shared" si="20"/>
        <v>3</v>
      </c>
      <c r="F835" s="9">
        <v>1.4423076923076924E-2</v>
      </c>
    </row>
    <row r="836" spans="2:6" x14ac:dyDescent="0.35">
      <c r="B836" s="4" t="s">
        <v>32</v>
      </c>
      <c r="C836" s="3">
        <v>1</v>
      </c>
      <c r="D836" s="2">
        <v>1</v>
      </c>
      <c r="E836" s="2">
        <f t="shared" ref="E836:E899" si="22">C836+D836</f>
        <v>2</v>
      </c>
      <c r="F836" s="9">
        <v>9.6153846153846159E-3</v>
      </c>
    </row>
    <row r="837" spans="2:6" x14ac:dyDescent="0.35">
      <c r="B837" s="4" t="s">
        <v>208</v>
      </c>
      <c r="C837" s="3">
        <v>1</v>
      </c>
      <c r="D837" s="2">
        <v>2</v>
      </c>
      <c r="E837" s="2">
        <f t="shared" si="22"/>
        <v>3</v>
      </c>
      <c r="F837" s="9">
        <v>1.4423076923076924E-2</v>
      </c>
    </row>
    <row r="838" spans="2:6" x14ac:dyDescent="0.35">
      <c r="B838" s="4" t="s">
        <v>213</v>
      </c>
      <c r="C838" s="3">
        <v>2</v>
      </c>
      <c r="D838" s="2">
        <v>0</v>
      </c>
      <c r="E838" s="2">
        <f t="shared" si="22"/>
        <v>2</v>
      </c>
      <c r="F838" s="9">
        <v>9.6153846153846159E-3</v>
      </c>
    </row>
    <row r="839" spans="2:6" x14ac:dyDescent="0.35">
      <c r="B839" s="4" t="s">
        <v>256</v>
      </c>
      <c r="C839" s="3">
        <v>1</v>
      </c>
      <c r="D839" s="2">
        <v>0</v>
      </c>
      <c r="E839" s="2">
        <f t="shared" si="22"/>
        <v>1</v>
      </c>
      <c r="F839" s="9">
        <v>4.807692307692308E-3</v>
      </c>
    </row>
    <row r="840" spans="2:6" x14ac:dyDescent="0.35">
      <c r="B840" s="4" t="s">
        <v>384</v>
      </c>
      <c r="C840" s="3">
        <v>1</v>
      </c>
      <c r="D840" s="2">
        <v>0</v>
      </c>
      <c r="E840" s="2">
        <f t="shared" si="22"/>
        <v>1</v>
      </c>
      <c r="F840" s="9">
        <v>4.807692307692308E-3</v>
      </c>
    </row>
    <row r="841" spans="2:6" x14ac:dyDescent="0.35">
      <c r="B841" s="4" t="s">
        <v>88</v>
      </c>
      <c r="C841" s="3">
        <v>1</v>
      </c>
      <c r="D841" s="2">
        <v>0</v>
      </c>
      <c r="E841" s="2">
        <f t="shared" si="22"/>
        <v>1</v>
      </c>
      <c r="F841" s="9">
        <v>4.807692307692308E-3</v>
      </c>
    </row>
    <row r="842" spans="2:6" x14ac:dyDescent="0.35">
      <c r="B842" s="4" t="s">
        <v>311</v>
      </c>
      <c r="C842" s="3">
        <v>1</v>
      </c>
      <c r="D842" s="2">
        <v>0</v>
      </c>
      <c r="E842" s="2">
        <f t="shared" si="22"/>
        <v>1</v>
      </c>
      <c r="F842" s="9">
        <v>4.807692307692308E-3</v>
      </c>
    </row>
    <row r="843" spans="2:6" x14ac:dyDescent="0.35">
      <c r="B843" s="4" t="s">
        <v>235</v>
      </c>
      <c r="C843" s="3">
        <v>1</v>
      </c>
      <c r="D843" s="2">
        <v>0</v>
      </c>
      <c r="E843" s="2">
        <f t="shared" si="22"/>
        <v>1</v>
      </c>
      <c r="F843" s="9">
        <v>4.807692307692308E-3</v>
      </c>
    </row>
    <row r="844" spans="2:6" x14ac:dyDescent="0.35">
      <c r="B844" s="4" t="s">
        <v>159</v>
      </c>
      <c r="C844" s="3">
        <v>1</v>
      </c>
      <c r="D844" s="2">
        <v>1</v>
      </c>
      <c r="E844" s="2">
        <f t="shared" si="22"/>
        <v>2</v>
      </c>
      <c r="F844" s="9">
        <v>9.6153846153846159E-3</v>
      </c>
    </row>
    <row r="845" spans="2:6" x14ac:dyDescent="0.35">
      <c r="B845" s="4" t="s">
        <v>336</v>
      </c>
      <c r="C845" s="3">
        <v>1</v>
      </c>
      <c r="D845" s="2">
        <v>0</v>
      </c>
      <c r="E845" s="2">
        <f t="shared" si="22"/>
        <v>1</v>
      </c>
      <c r="F845" s="9">
        <v>4.807692307692308E-3</v>
      </c>
    </row>
    <row r="846" spans="2:6" x14ac:dyDescent="0.35">
      <c r="B846" s="4" t="s">
        <v>259</v>
      </c>
      <c r="C846" s="3">
        <v>1</v>
      </c>
      <c r="D846" s="2">
        <v>0</v>
      </c>
      <c r="E846" s="2">
        <f t="shared" si="22"/>
        <v>1</v>
      </c>
      <c r="F846" s="9">
        <v>4.807692307692308E-3</v>
      </c>
    </row>
    <row r="847" spans="2:6" x14ac:dyDescent="0.35">
      <c r="B847" s="4" t="s">
        <v>77</v>
      </c>
      <c r="C847" s="3">
        <v>1</v>
      </c>
      <c r="D847" s="2">
        <v>0</v>
      </c>
      <c r="E847" s="2">
        <f t="shared" si="22"/>
        <v>1</v>
      </c>
      <c r="F847" s="9">
        <v>4.807692307692308E-3</v>
      </c>
    </row>
    <row r="848" spans="2:6" x14ac:dyDescent="0.35">
      <c r="B848" s="4" t="s">
        <v>64</v>
      </c>
      <c r="C848" s="3">
        <v>2</v>
      </c>
      <c r="D848" s="2">
        <v>0</v>
      </c>
      <c r="E848" s="2">
        <f t="shared" si="22"/>
        <v>2</v>
      </c>
      <c r="F848" s="9">
        <v>9.6153846153846159E-3</v>
      </c>
    </row>
    <row r="849" spans="2:6" x14ac:dyDescent="0.35">
      <c r="B849" s="4" t="s">
        <v>387</v>
      </c>
      <c r="C849" s="3">
        <v>1</v>
      </c>
      <c r="D849" s="2">
        <v>0</v>
      </c>
      <c r="E849" s="2">
        <f t="shared" si="22"/>
        <v>1</v>
      </c>
      <c r="F849" s="9">
        <v>4.807692307692308E-3</v>
      </c>
    </row>
    <row r="850" spans="2:6" x14ac:dyDescent="0.35">
      <c r="B850" s="4" t="s">
        <v>130</v>
      </c>
      <c r="C850" s="3">
        <v>1</v>
      </c>
      <c r="D850" s="2">
        <v>0</v>
      </c>
      <c r="E850" s="2">
        <f t="shared" si="22"/>
        <v>1</v>
      </c>
      <c r="F850" s="9">
        <v>4.807692307692308E-3</v>
      </c>
    </row>
    <row r="851" spans="2:6" x14ac:dyDescent="0.35">
      <c r="B851" s="4" t="s">
        <v>419</v>
      </c>
      <c r="C851" s="3">
        <v>1</v>
      </c>
      <c r="D851" s="2">
        <v>0</v>
      </c>
      <c r="E851" s="2">
        <f t="shared" si="22"/>
        <v>1</v>
      </c>
      <c r="F851" s="9">
        <v>4.807692307692308E-3</v>
      </c>
    </row>
    <row r="852" spans="2:6" x14ac:dyDescent="0.35">
      <c r="B852" s="4" t="s">
        <v>285</v>
      </c>
      <c r="C852" s="3">
        <v>3</v>
      </c>
      <c r="D852" s="2">
        <v>0</v>
      </c>
      <c r="E852" s="2">
        <f t="shared" si="22"/>
        <v>3</v>
      </c>
      <c r="F852" s="9">
        <v>1.4423076923076924E-2</v>
      </c>
    </row>
    <row r="853" spans="2:6" x14ac:dyDescent="0.35">
      <c r="B853" s="4" t="s">
        <v>352</v>
      </c>
      <c r="C853" s="3">
        <v>2</v>
      </c>
      <c r="D853" s="2">
        <v>0</v>
      </c>
      <c r="E853" s="2">
        <f t="shared" si="22"/>
        <v>2</v>
      </c>
      <c r="F853" s="9">
        <v>9.6153846153846159E-3</v>
      </c>
    </row>
    <row r="854" spans="2:6" x14ac:dyDescent="0.35">
      <c r="B854" s="4" t="s">
        <v>396</v>
      </c>
      <c r="C854" s="3">
        <v>1</v>
      </c>
      <c r="D854" s="2">
        <v>0</v>
      </c>
      <c r="E854" s="2">
        <f t="shared" si="22"/>
        <v>1</v>
      </c>
      <c r="F854" s="9">
        <v>4.807692307692308E-3</v>
      </c>
    </row>
    <row r="855" spans="2:6" x14ac:dyDescent="0.35">
      <c r="B855" s="4" t="s">
        <v>327</v>
      </c>
      <c r="C855" s="3">
        <v>1</v>
      </c>
      <c r="D855" s="2">
        <v>1</v>
      </c>
      <c r="E855" s="2">
        <f t="shared" si="22"/>
        <v>2</v>
      </c>
      <c r="F855" s="9">
        <v>9.6153846153846159E-3</v>
      </c>
    </row>
    <row r="856" spans="2:6" x14ac:dyDescent="0.35">
      <c r="B856" s="4" t="s">
        <v>390</v>
      </c>
      <c r="C856" s="3">
        <v>2</v>
      </c>
      <c r="D856" s="2">
        <v>0</v>
      </c>
      <c r="E856" s="2">
        <f t="shared" si="22"/>
        <v>2</v>
      </c>
      <c r="F856" s="9">
        <v>9.6153846153846159E-3</v>
      </c>
    </row>
    <row r="857" spans="2:6" x14ac:dyDescent="0.35">
      <c r="B857" s="4" t="s">
        <v>315</v>
      </c>
      <c r="C857" s="3">
        <v>1</v>
      </c>
      <c r="D857" s="2">
        <v>1</v>
      </c>
      <c r="E857" s="2">
        <f t="shared" si="22"/>
        <v>2</v>
      </c>
      <c r="F857" s="9">
        <v>9.6153846153846159E-3</v>
      </c>
    </row>
    <row r="858" spans="2:6" x14ac:dyDescent="0.35">
      <c r="B858" s="4" t="s">
        <v>138</v>
      </c>
      <c r="C858" s="3">
        <v>2</v>
      </c>
      <c r="D858" s="2">
        <v>0</v>
      </c>
      <c r="E858" s="2">
        <f t="shared" si="22"/>
        <v>2</v>
      </c>
      <c r="F858" s="9">
        <v>9.6153846153846159E-3</v>
      </c>
    </row>
    <row r="859" spans="2:6" x14ac:dyDescent="0.35">
      <c r="B859" s="4" t="s">
        <v>241</v>
      </c>
      <c r="C859" s="3">
        <v>3</v>
      </c>
      <c r="D859" s="2">
        <v>2</v>
      </c>
      <c r="E859" s="2">
        <f t="shared" si="22"/>
        <v>5</v>
      </c>
      <c r="F859" s="9">
        <v>2.403846153846154E-2</v>
      </c>
    </row>
    <row r="860" spans="2:6" x14ac:dyDescent="0.35">
      <c r="B860" s="4" t="s">
        <v>362</v>
      </c>
      <c r="C860" s="3">
        <v>1</v>
      </c>
      <c r="D860" s="2">
        <v>0</v>
      </c>
      <c r="E860" s="2">
        <f t="shared" si="22"/>
        <v>1</v>
      </c>
      <c r="F860" s="9">
        <v>4.807692307692308E-3</v>
      </c>
    </row>
    <row r="861" spans="2:6" x14ac:dyDescent="0.35">
      <c r="B861" s="4" t="s">
        <v>201</v>
      </c>
      <c r="C861" s="3">
        <v>1</v>
      </c>
      <c r="D861" s="2">
        <v>0</v>
      </c>
      <c r="E861" s="2">
        <f t="shared" si="22"/>
        <v>1</v>
      </c>
      <c r="F861" s="9">
        <v>4.807692307692308E-3</v>
      </c>
    </row>
    <row r="862" spans="2:6" x14ac:dyDescent="0.35">
      <c r="B862" s="4" t="s">
        <v>143</v>
      </c>
      <c r="C862" s="3">
        <v>3</v>
      </c>
      <c r="D862" s="2">
        <v>0</v>
      </c>
      <c r="E862" s="2">
        <f t="shared" si="22"/>
        <v>3</v>
      </c>
      <c r="F862" s="9">
        <v>1.4423076923076924E-2</v>
      </c>
    </row>
    <row r="863" spans="2:6" x14ac:dyDescent="0.35">
      <c r="B863" s="4" t="s">
        <v>160</v>
      </c>
      <c r="C863" s="3">
        <v>2</v>
      </c>
      <c r="D863" s="2">
        <v>1</v>
      </c>
      <c r="E863" s="2">
        <f t="shared" si="22"/>
        <v>3</v>
      </c>
      <c r="F863" s="9">
        <v>1.4423076923076924E-2</v>
      </c>
    </row>
    <row r="864" spans="2:6" x14ac:dyDescent="0.35">
      <c r="B864" s="4" t="s">
        <v>74</v>
      </c>
      <c r="C864" s="3">
        <v>1</v>
      </c>
      <c r="D864" s="2">
        <v>0</v>
      </c>
      <c r="E864" s="2">
        <f t="shared" si="22"/>
        <v>1</v>
      </c>
      <c r="F864" s="9">
        <v>4.807692307692308E-3</v>
      </c>
    </row>
    <row r="865" spans="2:6" x14ac:dyDescent="0.35">
      <c r="B865" s="4" t="s">
        <v>368</v>
      </c>
      <c r="C865" s="3">
        <v>1</v>
      </c>
      <c r="D865" s="2">
        <v>0</v>
      </c>
      <c r="E865" s="2">
        <f t="shared" si="22"/>
        <v>1</v>
      </c>
      <c r="F865" s="9">
        <v>4.807692307692308E-3</v>
      </c>
    </row>
    <row r="866" spans="2:6" x14ac:dyDescent="0.35">
      <c r="B866" s="4" t="s">
        <v>243</v>
      </c>
      <c r="C866" s="3">
        <v>1</v>
      </c>
      <c r="D866" s="2">
        <v>0</v>
      </c>
      <c r="E866" s="2">
        <f t="shared" si="22"/>
        <v>1</v>
      </c>
      <c r="F866" s="9">
        <v>4.807692307692308E-3</v>
      </c>
    </row>
    <row r="867" spans="2:6" x14ac:dyDescent="0.35">
      <c r="B867" s="4" t="s">
        <v>411</v>
      </c>
      <c r="C867" s="3">
        <v>2</v>
      </c>
      <c r="D867" s="2">
        <v>0</v>
      </c>
      <c r="E867" s="2">
        <f t="shared" si="22"/>
        <v>2</v>
      </c>
      <c r="F867" s="9">
        <v>9.6153846153846159E-3</v>
      </c>
    </row>
    <row r="868" spans="2:6" x14ac:dyDescent="0.35">
      <c r="B868" s="4" t="s">
        <v>212</v>
      </c>
      <c r="C868" s="3">
        <v>1</v>
      </c>
      <c r="D868" s="2">
        <v>1</v>
      </c>
      <c r="E868" s="2">
        <f t="shared" si="22"/>
        <v>2</v>
      </c>
      <c r="F868" s="9">
        <v>9.6153846153846159E-3</v>
      </c>
    </row>
    <row r="869" spans="2:6" x14ac:dyDescent="0.35">
      <c r="B869" s="4" t="s">
        <v>215</v>
      </c>
      <c r="C869" s="3">
        <v>1</v>
      </c>
      <c r="D869" s="2">
        <v>1</v>
      </c>
      <c r="E869" s="2">
        <f t="shared" si="22"/>
        <v>2</v>
      </c>
      <c r="F869" s="9">
        <v>9.6153846153846159E-3</v>
      </c>
    </row>
    <row r="870" spans="2:6" x14ac:dyDescent="0.35">
      <c r="B870" s="4" t="s">
        <v>331</v>
      </c>
      <c r="C870" s="3">
        <v>1</v>
      </c>
      <c r="D870" s="2">
        <v>0</v>
      </c>
      <c r="E870" s="2">
        <f t="shared" si="22"/>
        <v>1</v>
      </c>
      <c r="F870" s="9">
        <v>4.807692307692308E-3</v>
      </c>
    </row>
    <row r="871" spans="2:6" x14ac:dyDescent="0.35">
      <c r="B871" s="4" t="s">
        <v>93</v>
      </c>
      <c r="C871" s="3">
        <v>2</v>
      </c>
      <c r="D871" s="2">
        <v>0</v>
      </c>
      <c r="E871" s="2">
        <f t="shared" si="22"/>
        <v>2</v>
      </c>
      <c r="F871" s="9">
        <v>9.6153846153846159E-3</v>
      </c>
    </row>
    <row r="872" spans="2:6" x14ac:dyDescent="0.35">
      <c r="B872" s="4" t="s">
        <v>158</v>
      </c>
      <c r="C872" s="3">
        <v>1</v>
      </c>
      <c r="D872" s="2">
        <v>0</v>
      </c>
      <c r="E872" s="2">
        <f t="shared" si="22"/>
        <v>1</v>
      </c>
      <c r="F872" s="9">
        <v>4.807692307692308E-3</v>
      </c>
    </row>
    <row r="873" spans="2:6" x14ac:dyDescent="0.35">
      <c r="B873" s="4" t="s">
        <v>397</v>
      </c>
      <c r="C873" s="3">
        <v>1</v>
      </c>
      <c r="D873" s="2">
        <v>0</v>
      </c>
      <c r="E873" s="2">
        <f t="shared" si="22"/>
        <v>1</v>
      </c>
      <c r="F873" s="9">
        <v>4.807692307692308E-3</v>
      </c>
    </row>
    <row r="874" spans="2:6" x14ac:dyDescent="0.35">
      <c r="B874" s="4" t="s">
        <v>198</v>
      </c>
      <c r="C874" s="3">
        <v>1</v>
      </c>
      <c r="D874" s="2">
        <v>0</v>
      </c>
      <c r="E874" s="2">
        <f t="shared" si="22"/>
        <v>1</v>
      </c>
      <c r="F874" s="9">
        <v>4.807692307692308E-3</v>
      </c>
    </row>
    <row r="875" spans="2:6" x14ac:dyDescent="0.35">
      <c r="B875" s="4" t="s">
        <v>296</v>
      </c>
      <c r="C875" s="3">
        <v>1</v>
      </c>
      <c r="D875" s="2">
        <v>0</v>
      </c>
      <c r="E875" s="2">
        <f t="shared" si="22"/>
        <v>1</v>
      </c>
      <c r="F875" s="9">
        <v>4.807692307692308E-3</v>
      </c>
    </row>
    <row r="876" spans="2:6" x14ac:dyDescent="0.35">
      <c r="B876" s="4" t="s">
        <v>136</v>
      </c>
      <c r="C876" s="3">
        <v>1</v>
      </c>
      <c r="D876" s="2">
        <v>0</v>
      </c>
      <c r="E876" s="2">
        <f t="shared" si="22"/>
        <v>1</v>
      </c>
      <c r="F876" s="9">
        <v>4.807692307692308E-3</v>
      </c>
    </row>
    <row r="877" spans="2:6" x14ac:dyDescent="0.35">
      <c r="B877" s="4" t="s">
        <v>126</v>
      </c>
      <c r="C877" s="3">
        <v>1</v>
      </c>
      <c r="D877" s="2">
        <v>0</v>
      </c>
      <c r="E877" s="2">
        <f t="shared" si="22"/>
        <v>1</v>
      </c>
      <c r="F877" s="9">
        <v>4.807692307692308E-3</v>
      </c>
    </row>
    <row r="878" spans="2:6" x14ac:dyDescent="0.35">
      <c r="B878" s="4" t="s">
        <v>318</v>
      </c>
      <c r="C878" s="3">
        <v>2</v>
      </c>
      <c r="D878" s="2">
        <v>0</v>
      </c>
      <c r="E878" s="2">
        <f t="shared" si="22"/>
        <v>2</v>
      </c>
      <c r="F878" s="9">
        <v>9.6153846153846159E-3</v>
      </c>
    </row>
    <row r="879" spans="2:6" x14ac:dyDescent="0.35">
      <c r="B879" s="4" t="s">
        <v>142</v>
      </c>
      <c r="C879" s="3">
        <v>2</v>
      </c>
      <c r="D879" s="2">
        <v>0</v>
      </c>
      <c r="E879" s="2">
        <f t="shared" si="22"/>
        <v>2</v>
      </c>
      <c r="F879" s="9">
        <v>9.6153846153846159E-3</v>
      </c>
    </row>
    <row r="880" spans="2:6" x14ac:dyDescent="0.35">
      <c r="B880" s="4" t="s">
        <v>225</v>
      </c>
      <c r="C880" s="3">
        <v>2</v>
      </c>
      <c r="D880" s="2">
        <v>0</v>
      </c>
      <c r="E880" s="2">
        <f t="shared" si="22"/>
        <v>2</v>
      </c>
      <c r="F880" s="9">
        <v>9.6153846153846159E-3</v>
      </c>
    </row>
    <row r="881" spans="2:6" x14ac:dyDescent="0.35">
      <c r="B881" s="4" t="s">
        <v>231</v>
      </c>
      <c r="C881" s="3">
        <v>6</v>
      </c>
      <c r="D881" s="2">
        <v>2</v>
      </c>
      <c r="E881" s="2">
        <f t="shared" si="22"/>
        <v>8</v>
      </c>
      <c r="F881" s="9">
        <v>3.8461538461538464E-2</v>
      </c>
    </row>
    <row r="882" spans="2:6" x14ac:dyDescent="0.35">
      <c r="B882" s="4" t="s">
        <v>155</v>
      </c>
      <c r="C882" s="3">
        <v>1</v>
      </c>
      <c r="D882" s="2">
        <v>0</v>
      </c>
      <c r="E882" s="2">
        <f t="shared" si="22"/>
        <v>1</v>
      </c>
      <c r="F882" s="9">
        <v>4.807692307692308E-3</v>
      </c>
    </row>
    <row r="883" spans="2:6" x14ac:dyDescent="0.35">
      <c r="B883" s="4" t="s">
        <v>279</v>
      </c>
      <c r="C883" s="3">
        <v>1</v>
      </c>
      <c r="D883" s="2">
        <v>0</v>
      </c>
      <c r="E883" s="2">
        <f t="shared" si="22"/>
        <v>1</v>
      </c>
      <c r="F883" s="9">
        <v>4.807692307692308E-3</v>
      </c>
    </row>
    <row r="884" spans="2:6" x14ac:dyDescent="0.35">
      <c r="B884" s="4" t="s">
        <v>356</v>
      </c>
      <c r="C884" s="3">
        <v>1</v>
      </c>
      <c r="D884" s="2">
        <v>0</v>
      </c>
      <c r="E884" s="2">
        <f t="shared" si="22"/>
        <v>1</v>
      </c>
      <c r="F884" s="9">
        <v>4.807692307692308E-3</v>
      </c>
    </row>
    <row r="885" spans="2:6" x14ac:dyDescent="0.35">
      <c r="B885" s="4" t="s">
        <v>148</v>
      </c>
      <c r="C885" s="3">
        <v>1</v>
      </c>
      <c r="D885" s="2">
        <v>0</v>
      </c>
      <c r="E885" s="2">
        <f t="shared" si="22"/>
        <v>1</v>
      </c>
      <c r="F885" s="9">
        <v>4.807692307692308E-3</v>
      </c>
    </row>
    <row r="886" spans="2:6" x14ac:dyDescent="0.35">
      <c r="B886" s="4" t="s">
        <v>169</v>
      </c>
      <c r="C886" s="3">
        <v>1</v>
      </c>
      <c r="D886" s="2">
        <v>2</v>
      </c>
      <c r="E886" s="2">
        <f t="shared" si="22"/>
        <v>3</v>
      </c>
      <c r="F886" s="9">
        <v>1.4423076923076924E-2</v>
      </c>
    </row>
    <row r="887" spans="2:6" x14ac:dyDescent="0.35">
      <c r="B887" s="4" t="s">
        <v>284</v>
      </c>
      <c r="C887" s="3">
        <v>2</v>
      </c>
      <c r="D887" s="2">
        <v>0</v>
      </c>
      <c r="E887" s="2">
        <f t="shared" si="22"/>
        <v>2</v>
      </c>
      <c r="F887" s="9">
        <v>9.6153846153846159E-3</v>
      </c>
    </row>
    <row r="888" spans="2:6" x14ac:dyDescent="0.35">
      <c r="B888" s="4" t="s">
        <v>121</v>
      </c>
      <c r="C888" s="3">
        <v>3</v>
      </c>
      <c r="D888" s="2">
        <v>0</v>
      </c>
      <c r="E888" s="2">
        <f t="shared" si="22"/>
        <v>3</v>
      </c>
      <c r="F888" s="9">
        <v>1.4423076923076924E-2</v>
      </c>
    </row>
    <row r="889" spans="2:6" x14ac:dyDescent="0.35">
      <c r="B889" s="4" t="s">
        <v>275</v>
      </c>
      <c r="C889" s="3">
        <v>1</v>
      </c>
      <c r="D889" s="2">
        <v>0</v>
      </c>
      <c r="E889" s="2">
        <f t="shared" si="22"/>
        <v>1</v>
      </c>
      <c r="F889" s="9">
        <v>4.807692307692308E-3</v>
      </c>
    </row>
    <row r="890" spans="2:6" x14ac:dyDescent="0.35">
      <c r="B890" s="4" t="s">
        <v>292</v>
      </c>
      <c r="C890" s="3">
        <v>1</v>
      </c>
      <c r="D890" s="2">
        <v>1</v>
      </c>
      <c r="E890" s="2">
        <f t="shared" si="22"/>
        <v>2</v>
      </c>
      <c r="F890" s="9">
        <v>9.6153846153846159E-3</v>
      </c>
    </row>
    <row r="891" spans="2:6" x14ac:dyDescent="0.35">
      <c r="B891" s="4" t="s">
        <v>133</v>
      </c>
      <c r="C891" s="3">
        <v>1</v>
      </c>
      <c r="D891" s="2">
        <v>0</v>
      </c>
      <c r="E891" s="2">
        <f t="shared" si="22"/>
        <v>1</v>
      </c>
      <c r="F891" s="9">
        <v>4.807692307692308E-3</v>
      </c>
    </row>
    <row r="892" spans="2:6" x14ac:dyDescent="0.35">
      <c r="B892" s="4" t="s">
        <v>293</v>
      </c>
      <c r="C892" s="3">
        <v>3</v>
      </c>
      <c r="D892" s="2">
        <v>0</v>
      </c>
      <c r="E892" s="2">
        <f t="shared" si="22"/>
        <v>3</v>
      </c>
      <c r="F892" s="9">
        <v>1.4423076923076924E-2</v>
      </c>
    </row>
    <row r="893" spans="2:6" x14ac:dyDescent="0.35">
      <c r="B893" s="4" t="s">
        <v>202</v>
      </c>
      <c r="C893" s="3">
        <v>1</v>
      </c>
      <c r="D893" s="2">
        <v>1</v>
      </c>
      <c r="E893" s="2">
        <f t="shared" si="22"/>
        <v>2</v>
      </c>
      <c r="F893" s="9">
        <v>9.6153846153846159E-3</v>
      </c>
    </row>
    <row r="894" spans="2:6" x14ac:dyDescent="0.35">
      <c r="B894" s="4" t="s">
        <v>305</v>
      </c>
      <c r="C894" s="3">
        <v>2</v>
      </c>
      <c r="D894" s="2">
        <v>0</v>
      </c>
      <c r="E894" s="2">
        <f t="shared" si="22"/>
        <v>2</v>
      </c>
      <c r="F894" s="9">
        <v>9.6153846153846159E-3</v>
      </c>
    </row>
    <row r="895" spans="2:6" x14ac:dyDescent="0.35">
      <c r="B895" s="4" t="s">
        <v>185</v>
      </c>
      <c r="C895" s="3">
        <v>1</v>
      </c>
      <c r="D895" s="2">
        <v>0</v>
      </c>
      <c r="E895" s="2">
        <f t="shared" si="22"/>
        <v>1</v>
      </c>
      <c r="F895" s="9">
        <v>4.807692307692308E-3</v>
      </c>
    </row>
    <row r="896" spans="2:6" x14ac:dyDescent="0.35">
      <c r="B896" s="4" t="s">
        <v>193</v>
      </c>
      <c r="C896" s="3">
        <v>1</v>
      </c>
      <c r="D896" s="2">
        <v>0</v>
      </c>
      <c r="E896" s="2">
        <f t="shared" si="22"/>
        <v>1</v>
      </c>
      <c r="F896" s="9">
        <v>4.807692307692308E-3</v>
      </c>
    </row>
    <row r="897" spans="2:6" x14ac:dyDescent="0.35">
      <c r="B897" s="4" t="s">
        <v>380</v>
      </c>
      <c r="C897" s="3">
        <v>1</v>
      </c>
      <c r="D897" s="2">
        <v>0</v>
      </c>
      <c r="E897" s="2">
        <f t="shared" si="22"/>
        <v>1</v>
      </c>
      <c r="F897" s="9">
        <v>4.807692307692308E-3</v>
      </c>
    </row>
    <row r="898" spans="2:6" x14ac:dyDescent="0.35">
      <c r="B898" s="4" t="s">
        <v>386</v>
      </c>
      <c r="C898" s="3">
        <v>1</v>
      </c>
      <c r="D898" s="2">
        <v>0</v>
      </c>
      <c r="E898" s="2">
        <f t="shared" si="22"/>
        <v>1</v>
      </c>
      <c r="F898" s="9">
        <v>4.807692307692308E-3</v>
      </c>
    </row>
    <row r="899" spans="2:6" x14ac:dyDescent="0.35">
      <c r="B899" s="4" t="s">
        <v>252</v>
      </c>
      <c r="C899" s="3">
        <v>1</v>
      </c>
      <c r="D899" s="2">
        <v>0</v>
      </c>
      <c r="E899" s="2">
        <f t="shared" si="22"/>
        <v>1</v>
      </c>
      <c r="F899" s="9">
        <v>4.807692307692308E-3</v>
      </c>
    </row>
    <row r="900" spans="2:6" x14ac:dyDescent="0.35">
      <c r="B900" s="4" t="s">
        <v>58</v>
      </c>
      <c r="C900" s="3">
        <v>1</v>
      </c>
      <c r="D900" s="2">
        <v>0</v>
      </c>
      <c r="E900" s="2">
        <f t="shared" ref="E900:E963" si="23">C900+D900</f>
        <v>1</v>
      </c>
      <c r="F900" s="9">
        <v>4.807692307692308E-3</v>
      </c>
    </row>
    <row r="901" spans="2:6" x14ac:dyDescent="0.35">
      <c r="B901" s="4" t="s">
        <v>374</v>
      </c>
      <c r="C901" s="3">
        <v>1</v>
      </c>
      <c r="D901" s="2">
        <v>0</v>
      </c>
      <c r="E901" s="2">
        <f t="shared" si="23"/>
        <v>1</v>
      </c>
      <c r="F901" s="9">
        <v>4.807692307692308E-3</v>
      </c>
    </row>
    <row r="902" spans="2:6" x14ac:dyDescent="0.35">
      <c r="B902" s="4" t="s">
        <v>170</v>
      </c>
      <c r="C902" s="3">
        <v>1</v>
      </c>
      <c r="D902" s="2">
        <v>1</v>
      </c>
      <c r="E902" s="2">
        <f t="shared" si="23"/>
        <v>2</v>
      </c>
      <c r="F902" s="9">
        <v>9.6153846153846159E-3</v>
      </c>
    </row>
    <row r="903" spans="2:6" x14ac:dyDescent="0.35">
      <c r="B903" s="4" t="s">
        <v>240</v>
      </c>
      <c r="C903" s="3">
        <v>1</v>
      </c>
      <c r="D903" s="2">
        <v>0</v>
      </c>
      <c r="E903" s="2">
        <f t="shared" si="23"/>
        <v>1</v>
      </c>
      <c r="F903" s="9">
        <v>4.807692307692308E-3</v>
      </c>
    </row>
    <row r="904" spans="2:6" x14ac:dyDescent="0.35">
      <c r="B904" s="4" t="s">
        <v>66</v>
      </c>
      <c r="C904" s="3">
        <v>2</v>
      </c>
      <c r="D904" s="2">
        <v>0</v>
      </c>
      <c r="E904" s="2">
        <f t="shared" si="23"/>
        <v>2</v>
      </c>
      <c r="F904" s="9">
        <v>9.6153846153846159E-3</v>
      </c>
    </row>
    <row r="905" spans="2:6" x14ac:dyDescent="0.35">
      <c r="B905" s="4" t="s">
        <v>87</v>
      </c>
      <c r="C905" s="3">
        <v>1</v>
      </c>
      <c r="D905" s="2">
        <v>1</v>
      </c>
      <c r="E905" s="2">
        <f t="shared" si="23"/>
        <v>2</v>
      </c>
      <c r="F905" s="9">
        <v>9.6153846153846159E-3</v>
      </c>
    </row>
    <row r="906" spans="2:6" x14ac:dyDescent="0.35">
      <c r="B906" s="4" t="s">
        <v>367</v>
      </c>
      <c r="C906" s="3">
        <v>1</v>
      </c>
      <c r="D906" s="2">
        <v>0</v>
      </c>
      <c r="E906" s="2">
        <f t="shared" si="23"/>
        <v>1</v>
      </c>
      <c r="F906" s="9">
        <v>4.807692307692308E-3</v>
      </c>
    </row>
    <row r="907" spans="2:6" x14ac:dyDescent="0.35">
      <c r="B907" s="4" t="s">
        <v>153</v>
      </c>
      <c r="C907" s="3">
        <v>1</v>
      </c>
      <c r="D907" s="2">
        <v>0</v>
      </c>
      <c r="E907" s="2">
        <f t="shared" si="23"/>
        <v>1</v>
      </c>
      <c r="F907" s="9">
        <v>4.807692307692308E-3</v>
      </c>
    </row>
    <row r="908" spans="2:6" x14ac:dyDescent="0.35">
      <c r="B908" s="4" t="s">
        <v>320</v>
      </c>
      <c r="C908" s="3">
        <v>3</v>
      </c>
      <c r="D908" s="2">
        <v>0</v>
      </c>
      <c r="E908" s="2">
        <f t="shared" si="23"/>
        <v>3</v>
      </c>
      <c r="F908" s="9">
        <v>1.4423076923076924E-2</v>
      </c>
    </row>
    <row r="909" spans="2:6" x14ac:dyDescent="0.35">
      <c r="B909" s="4" t="s">
        <v>360</v>
      </c>
      <c r="C909" s="3">
        <v>1</v>
      </c>
      <c r="D909" s="2">
        <v>0</v>
      </c>
      <c r="E909" s="2">
        <f t="shared" si="23"/>
        <v>1</v>
      </c>
      <c r="F909" s="9">
        <v>4.807692307692308E-3</v>
      </c>
    </row>
    <row r="910" spans="2:6" x14ac:dyDescent="0.35">
      <c r="B910" s="4" t="s">
        <v>324</v>
      </c>
      <c r="C910" s="3">
        <v>1</v>
      </c>
      <c r="D910" s="2">
        <v>0</v>
      </c>
      <c r="E910" s="2">
        <f t="shared" si="23"/>
        <v>1</v>
      </c>
      <c r="F910" s="9">
        <v>4.807692307692308E-3</v>
      </c>
    </row>
    <row r="911" spans="2:6" x14ac:dyDescent="0.35">
      <c r="B911" s="4" t="s">
        <v>371</v>
      </c>
      <c r="C911" s="3">
        <v>1</v>
      </c>
      <c r="D911" s="2">
        <v>0</v>
      </c>
      <c r="E911" s="2">
        <f t="shared" si="23"/>
        <v>1</v>
      </c>
      <c r="F911" s="9">
        <v>4.807692307692308E-3</v>
      </c>
    </row>
    <row r="912" spans="2:6" x14ac:dyDescent="0.35">
      <c r="B912" s="4" t="s">
        <v>228</v>
      </c>
      <c r="C912" s="3">
        <v>1</v>
      </c>
      <c r="D912" s="2">
        <v>0</v>
      </c>
      <c r="E912" s="2">
        <f t="shared" si="23"/>
        <v>1</v>
      </c>
      <c r="F912" s="9">
        <v>4.807692307692308E-3</v>
      </c>
    </row>
    <row r="913" spans="1:6" x14ac:dyDescent="0.35">
      <c r="B913" s="4" t="s">
        <v>261</v>
      </c>
      <c r="C913" s="3">
        <v>3</v>
      </c>
      <c r="D913" s="2">
        <v>0</v>
      </c>
      <c r="E913" s="2">
        <f t="shared" si="23"/>
        <v>3</v>
      </c>
      <c r="F913" s="9">
        <v>1.4423076923076924E-2</v>
      </c>
    </row>
    <row r="914" spans="1:6" x14ac:dyDescent="0.35">
      <c r="B914" s="4" t="s">
        <v>312</v>
      </c>
      <c r="C914" s="3">
        <v>1</v>
      </c>
      <c r="D914" s="2">
        <v>0</v>
      </c>
      <c r="E914" s="2">
        <f t="shared" si="23"/>
        <v>1</v>
      </c>
      <c r="F914" s="9">
        <v>4.807692307692308E-3</v>
      </c>
    </row>
    <row r="915" spans="1:6" x14ac:dyDescent="0.35">
      <c r="B915" s="4" t="s">
        <v>343</v>
      </c>
      <c r="C915" s="3">
        <v>2</v>
      </c>
      <c r="D915" s="2">
        <v>0</v>
      </c>
      <c r="E915" s="2">
        <f t="shared" si="23"/>
        <v>2</v>
      </c>
      <c r="F915" s="9">
        <v>9.6153846153846159E-3</v>
      </c>
    </row>
    <row r="916" spans="1:6" x14ac:dyDescent="0.35">
      <c r="B916" s="4" t="s">
        <v>357</v>
      </c>
      <c r="C916" s="3">
        <v>2</v>
      </c>
      <c r="D916" s="2">
        <v>0</v>
      </c>
      <c r="E916" s="2">
        <f t="shared" si="23"/>
        <v>2</v>
      </c>
      <c r="F916" s="9">
        <v>9.6153846153846159E-3</v>
      </c>
    </row>
    <row r="917" spans="1:6" x14ac:dyDescent="0.35">
      <c r="B917" s="4" t="s">
        <v>186</v>
      </c>
      <c r="C917" s="3">
        <v>1</v>
      </c>
      <c r="D917" s="2">
        <v>3</v>
      </c>
      <c r="E917" s="2">
        <f t="shared" si="23"/>
        <v>4</v>
      </c>
      <c r="F917" s="9">
        <v>1.9230769230769232E-2</v>
      </c>
    </row>
    <row r="918" spans="1:6" x14ac:dyDescent="0.35">
      <c r="B918" s="4" t="s">
        <v>124</v>
      </c>
      <c r="C918" s="3">
        <v>1</v>
      </c>
      <c r="D918" s="2">
        <v>0</v>
      </c>
      <c r="E918" s="2">
        <f t="shared" si="23"/>
        <v>1</v>
      </c>
      <c r="F918" s="9">
        <v>4.807692307692308E-3</v>
      </c>
    </row>
    <row r="919" spans="1:6" x14ac:dyDescent="0.35">
      <c r="B919" s="4" t="s">
        <v>346</v>
      </c>
      <c r="C919" s="3">
        <v>1</v>
      </c>
      <c r="D919" s="2">
        <v>0</v>
      </c>
      <c r="E919" s="2">
        <f t="shared" si="23"/>
        <v>1</v>
      </c>
      <c r="F919" s="9">
        <v>4.807692307692308E-3</v>
      </c>
    </row>
    <row r="920" spans="1:6" x14ac:dyDescent="0.35">
      <c r="B920" s="4" t="s">
        <v>273</v>
      </c>
      <c r="C920" s="3">
        <v>1</v>
      </c>
      <c r="D920" s="2">
        <v>0</v>
      </c>
      <c r="E920" s="2">
        <f t="shared" si="23"/>
        <v>1</v>
      </c>
      <c r="F920" s="9">
        <v>4.807692307692308E-3</v>
      </c>
    </row>
    <row r="921" spans="1:6" x14ac:dyDescent="0.35">
      <c r="B921" s="4" t="s">
        <v>230</v>
      </c>
      <c r="C921" s="3">
        <v>3</v>
      </c>
      <c r="D921" s="2">
        <v>0</v>
      </c>
      <c r="E921" s="2">
        <f t="shared" si="23"/>
        <v>3</v>
      </c>
      <c r="F921" s="9">
        <v>1.4423076923076924E-2</v>
      </c>
    </row>
    <row r="922" spans="1:6" x14ac:dyDescent="0.35">
      <c r="B922" s="4" t="s">
        <v>125</v>
      </c>
      <c r="C922" s="3">
        <v>2</v>
      </c>
      <c r="D922" s="2">
        <v>0</v>
      </c>
      <c r="E922" s="2">
        <f t="shared" si="23"/>
        <v>2</v>
      </c>
      <c r="F922" s="9">
        <v>9.6153846153846159E-3</v>
      </c>
    </row>
    <row r="923" spans="1:6" x14ac:dyDescent="0.35">
      <c r="B923" s="4" t="s">
        <v>224</v>
      </c>
      <c r="C923" s="3">
        <v>3</v>
      </c>
      <c r="D923" s="2">
        <v>0</v>
      </c>
      <c r="E923" s="2">
        <f t="shared" si="23"/>
        <v>3</v>
      </c>
      <c r="F923" s="9">
        <v>1.4423076923076924E-2</v>
      </c>
    </row>
    <row r="924" spans="1:6" x14ac:dyDescent="0.35">
      <c r="B924" s="4" t="s">
        <v>90</v>
      </c>
      <c r="C924" s="3">
        <v>2</v>
      </c>
      <c r="D924" s="2">
        <v>1</v>
      </c>
      <c r="E924" s="2">
        <f t="shared" si="23"/>
        <v>3</v>
      </c>
      <c r="F924" s="9">
        <v>1.4423076923076924E-2</v>
      </c>
    </row>
    <row r="925" spans="1:6" x14ac:dyDescent="0.35">
      <c r="A925" s="17" t="s">
        <v>468</v>
      </c>
      <c r="B925" s="12" t="s">
        <v>462</v>
      </c>
      <c r="C925" s="13">
        <f>SUM(C926:C1056)</f>
        <v>184</v>
      </c>
      <c r="D925" s="13">
        <f t="shared" ref="D925:E925" si="24">SUM(D926:D1056)</f>
        <v>39</v>
      </c>
      <c r="E925" s="13">
        <f t="shared" si="24"/>
        <v>223</v>
      </c>
      <c r="F925" s="12"/>
    </row>
    <row r="926" spans="1:6" x14ac:dyDescent="0.35">
      <c r="B926" s="4" t="s">
        <v>79</v>
      </c>
      <c r="C926" s="3">
        <v>3</v>
      </c>
      <c r="D926" s="2">
        <v>0</v>
      </c>
      <c r="E926" s="2">
        <f t="shared" si="23"/>
        <v>3</v>
      </c>
      <c r="F926" s="9">
        <v>1.3452914798206279E-2</v>
      </c>
    </row>
    <row r="927" spans="1:6" x14ac:dyDescent="0.35">
      <c r="B927" s="4" t="s">
        <v>38</v>
      </c>
      <c r="C927" s="3">
        <v>1</v>
      </c>
      <c r="D927" s="2">
        <v>0</v>
      </c>
      <c r="E927" s="2">
        <f t="shared" si="23"/>
        <v>1</v>
      </c>
      <c r="F927" s="9">
        <v>4.4843049327354259E-3</v>
      </c>
    </row>
    <row r="928" spans="1:6" x14ac:dyDescent="0.35">
      <c r="B928" s="4" t="s">
        <v>62</v>
      </c>
      <c r="C928" s="3">
        <v>1</v>
      </c>
      <c r="D928" s="2">
        <v>0</v>
      </c>
      <c r="E928" s="2">
        <f t="shared" si="23"/>
        <v>1</v>
      </c>
      <c r="F928" s="9">
        <v>4.4843049327354259E-3</v>
      </c>
    </row>
    <row r="929" spans="2:6" x14ac:dyDescent="0.35">
      <c r="B929" s="4" t="s">
        <v>258</v>
      </c>
      <c r="C929" s="3">
        <v>1</v>
      </c>
      <c r="D929" s="2">
        <v>2</v>
      </c>
      <c r="E929" s="2">
        <f t="shared" si="23"/>
        <v>3</v>
      </c>
      <c r="F929" s="9">
        <v>1.3452914798206279E-2</v>
      </c>
    </row>
    <row r="930" spans="2:6" x14ac:dyDescent="0.35">
      <c r="B930" s="4" t="s">
        <v>127</v>
      </c>
      <c r="C930" s="3">
        <v>1</v>
      </c>
      <c r="D930" s="2">
        <v>0</v>
      </c>
      <c r="E930" s="2">
        <f t="shared" si="23"/>
        <v>1</v>
      </c>
      <c r="F930" s="9">
        <v>4.4843049327354259E-3</v>
      </c>
    </row>
    <row r="931" spans="2:6" x14ac:dyDescent="0.35">
      <c r="B931" s="4" t="s">
        <v>319</v>
      </c>
      <c r="C931" s="3">
        <v>1</v>
      </c>
      <c r="D931" s="2">
        <v>0</v>
      </c>
      <c r="E931" s="2">
        <f t="shared" si="23"/>
        <v>1</v>
      </c>
      <c r="F931" s="9">
        <v>4.4843049327354259E-3</v>
      </c>
    </row>
    <row r="932" spans="2:6" x14ac:dyDescent="0.35">
      <c r="B932" s="4" t="s">
        <v>350</v>
      </c>
      <c r="C932" s="3">
        <v>1</v>
      </c>
      <c r="D932" s="2">
        <v>0</v>
      </c>
      <c r="E932" s="2">
        <f t="shared" si="23"/>
        <v>1</v>
      </c>
      <c r="F932" s="9">
        <v>4.4843049327354259E-3</v>
      </c>
    </row>
    <row r="933" spans="2:6" x14ac:dyDescent="0.35">
      <c r="B933" s="4" t="s">
        <v>161</v>
      </c>
      <c r="C933" s="3">
        <v>1</v>
      </c>
      <c r="D933" s="2">
        <v>0</v>
      </c>
      <c r="E933" s="2">
        <f t="shared" si="23"/>
        <v>1</v>
      </c>
      <c r="F933" s="9">
        <v>4.4843049327354259E-3</v>
      </c>
    </row>
    <row r="934" spans="2:6" x14ac:dyDescent="0.35">
      <c r="B934" s="4" t="s">
        <v>340</v>
      </c>
      <c r="C934" s="3">
        <v>1</v>
      </c>
      <c r="D934" s="2">
        <v>0</v>
      </c>
      <c r="E934" s="2">
        <f t="shared" si="23"/>
        <v>1</v>
      </c>
      <c r="F934" s="9">
        <v>4.4843049327354259E-3</v>
      </c>
    </row>
    <row r="935" spans="2:6" x14ac:dyDescent="0.35">
      <c r="B935" s="4" t="s">
        <v>196</v>
      </c>
      <c r="C935" s="3">
        <v>3</v>
      </c>
      <c r="D935" s="2">
        <v>0</v>
      </c>
      <c r="E935" s="2">
        <f t="shared" si="23"/>
        <v>3</v>
      </c>
      <c r="F935" s="9">
        <v>1.3452914798206279E-2</v>
      </c>
    </row>
    <row r="936" spans="2:6" x14ac:dyDescent="0.35">
      <c r="B936" s="4" t="s">
        <v>35</v>
      </c>
      <c r="C936" s="3">
        <v>1</v>
      </c>
      <c r="D936" s="2">
        <v>0</v>
      </c>
      <c r="E936" s="2">
        <f t="shared" si="23"/>
        <v>1</v>
      </c>
      <c r="F936" s="9">
        <v>4.4843049327354259E-3</v>
      </c>
    </row>
    <row r="937" spans="2:6" x14ac:dyDescent="0.35">
      <c r="B937" s="4" t="s">
        <v>46</v>
      </c>
      <c r="C937" s="3">
        <v>2</v>
      </c>
      <c r="D937" s="2">
        <v>2</v>
      </c>
      <c r="E937" s="2">
        <f t="shared" si="23"/>
        <v>4</v>
      </c>
      <c r="F937" s="9">
        <v>1.7937219730941704E-2</v>
      </c>
    </row>
    <row r="938" spans="2:6" x14ac:dyDescent="0.35">
      <c r="B938" s="4" t="s">
        <v>146</v>
      </c>
      <c r="C938" s="3">
        <v>1</v>
      </c>
      <c r="D938" s="2">
        <v>0</v>
      </c>
      <c r="E938" s="2">
        <f t="shared" si="23"/>
        <v>1</v>
      </c>
      <c r="F938" s="9">
        <v>4.4843049327354259E-3</v>
      </c>
    </row>
    <row r="939" spans="2:6" x14ac:dyDescent="0.35">
      <c r="B939" s="4" t="s">
        <v>109</v>
      </c>
      <c r="C939" s="3">
        <v>1</v>
      </c>
      <c r="D939" s="2">
        <v>0</v>
      </c>
      <c r="E939" s="2">
        <f t="shared" si="23"/>
        <v>1</v>
      </c>
      <c r="F939" s="9">
        <v>4.4843049327354259E-3</v>
      </c>
    </row>
    <row r="940" spans="2:6" x14ac:dyDescent="0.35">
      <c r="B940" s="4" t="s">
        <v>295</v>
      </c>
      <c r="C940" s="3">
        <v>1</v>
      </c>
      <c r="D940" s="2">
        <v>0</v>
      </c>
      <c r="E940" s="2">
        <f t="shared" si="23"/>
        <v>1</v>
      </c>
      <c r="F940" s="9">
        <v>4.4843049327354259E-3</v>
      </c>
    </row>
    <row r="941" spans="2:6" x14ac:dyDescent="0.35">
      <c r="B941" s="4" t="s">
        <v>302</v>
      </c>
      <c r="C941" s="3">
        <v>2</v>
      </c>
      <c r="D941" s="2">
        <v>0</v>
      </c>
      <c r="E941" s="2">
        <f t="shared" si="23"/>
        <v>2</v>
      </c>
      <c r="F941" s="9">
        <v>8.9686098654708519E-3</v>
      </c>
    </row>
    <row r="942" spans="2:6" x14ac:dyDescent="0.35">
      <c r="B942" s="4" t="s">
        <v>347</v>
      </c>
      <c r="C942" s="3">
        <v>1</v>
      </c>
      <c r="D942" s="2">
        <v>0</v>
      </c>
      <c r="E942" s="2">
        <f t="shared" si="23"/>
        <v>1</v>
      </c>
      <c r="F942" s="9">
        <v>4.4843049327354259E-3</v>
      </c>
    </row>
    <row r="943" spans="2:6" x14ac:dyDescent="0.35">
      <c r="B943" s="4" t="s">
        <v>222</v>
      </c>
      <c r="C943" s="3">
        <v>1</v>
      </c>
      <c r="D943" s="2">
        <v>0</v>
      </c>
      <c r="E943" s="2">
        <f t="shared" si="23"/>
        <v>1</v>
      </c>
      <c r="F943" s="9">
        <v>4.4843049327354259E-3</v>
      </c>
    </row>
    <row r="944" spans="2:6" x14ac:dyDescent="0.35">
      <c r="B944" s="4" t="s">
        <v>299</v>
      </c>
      <c r="C944" s="3">
        <v>1</v>
      </c>
      <c r="D944" s="2">
        <v>0</v>
      </c>
      <c r="E944" s="2">
        <f t="shared" si="23"/>
        <v>1</v>
      </c>
      <c r="F944" s="9">
        <v>4.4843049327354259E-3</v>
      </c>
    </row>
    <row r="945" spans="2:6" x14ac:dyDescent="0.35">
      <c r="B945" s="4" t="s">
        <v>250</v>
      </c>
      <c r="C945" s="3">
        <v>2</v>
      </c>
      <c r="D945" s="2">
        <v>0</v>
      </c>
      <c r="E945" s="2">
        <f t="shared" si="23"/>
        <v>2</v>
      </c>
      <c r="F945" s="9">
        <v>8.9686098654708519E-3</v>
      </c>
    </row>
    <row r="946" spans="2:6" x14ac:dyDescent="0.35">
      <c r="B946" s="4" t="s">
        <v>129</v>
      </c>
      <c r="C946" s="3">
        <v>2</v>
      </c>
      <c r="D946" s="2">
        <v>0</v>
      </c>
      <c r="E946" s="2">
        <f t="shared" si="23"/>
        <v>2</v>
      </c>
      <c r="F946" s="9">
        <v>8.9686098654708519E-3</v>
      </c>
    </row>
    <row r="947" spans="2:6" x14ac:dyDescent="0.35">
      <c r="B947" s="4" t="s">
        <v>267</v>
      </c>
      <c r="C947" s="3">
        <v>2</v>
      </c>
      <c r="D947" s="2">
        <v>0</v>
      </c>
      <c r="E947" s="2">
        <f t="shared" si="23"/>
        <v>2</v>
      </c>
      <c r="F947" s="9">
        <v>8.9686098654708519E-3</v>
      </c>
    </row>
    <row r="948" spans="2:6" x14ac:dyDescent="0.35">
      <c r="B948" s="4" t="s">
        <v>209</v>
      </c>
      <c r="C948" s="3">
        <v>2</v>
      </c>
      <c r="D948" s="2">
        <v>0</v>
      </c>
      <c r="E948" s="2">
        <f t="shared" si="23"/>
        <v>2</v>
      </c>
      <c r="F948" s="9">
        <v>8.9686098654708519E-3</v>
      </c>
    </row>
    <row r="949" spans="2:6" x14ac:dyDescent="0.35">
      <c r="B949" s="4" t="s">
        <v>147</v>
      </c>
      <c r="C949" s="3">
        <v>1</v>
      </c>
      <c r="D949" s="2">
        <v>1</v>
      </c>
      <c r="E949" s="2">
        <f t="shared" si="23"/>
        <v>2</v>
      </c>
      <c r="F949" s="9">
        <v>8.9686098654708519E-3</v>
      </c>
    </row>
    <row r="950" spans="2:6" x14ac:dyDescent="0.35">
      <c r="B950" s="4" t="s">
        <v>85</v>
      </c>
      <c r="C950" s="3">
        <v>1</v>
      </c>
      <c r="D950" s="2">
        <v>0</v>
      </c>
      <c r="E950" s="2">
        <f t="shared" si="23"/>
        <v>1</v>
      </c>
      <c r="F950" s="9">
        <v>4.4843049327354259E-3</v>
      </c>
    </row>
    <row r="951" spans="2:6" x14ac:dyDescent="0.35">
      <c r="B951" s="4" t="s">
        <v>7</v>
      </c>
      <c r="C951" s="3">
        <v>1</v>
      </c>
      <c r="D951" s="2">
        <v>0</v>
      </c>
      <c r="E951" s="2">
        <f t="shared" si="23"/>
        <v>1</v>
      </c>
      <c r="F951" s="9">
        <v>4.4843049327354259E-3</v>
      </c>
    </row>
    <row r="952" spans="2:6" x14ac:dyDescent="0.35">
      <c r="B952" s="4" t="s">
        <v>234</v>
      </c>
      <c r="C952" s="3">
        <v>1</v>
      </c>
      <c r="D952" s="2">
        <v>1</v>
      </c>
      <c r="E952" s="2">
        <f t="shared" si="23"/>
        <v>2</v>
      </c>
      <c r="F952" s="9">
        <v>8.9686098654708519E-3</v>
      </c>
    </row>
    <row r="953" spans="2:6" x14ac:dyDescent="0.35">
      <c r="B953" s="4" t="s">
        <v>131</v>
      </c>
      <c r="C953" s="3">
        <v>1</v>
      </c>
      <c r="D953" s="2">
        <v>0</v>
      </c>
      <c r="E953" s="2">
        <f t="shared" si="23"/>
        <v>1</v>
      </c>
      <c r="F953" s="9">
        <v>4.4843049327354259E-3</v>
      </c>
    </row>
    <row r="954" spans="2:6" x14ac:dyDescent="0.35">
      <c r="B954" s="4" t="s">
        <v>220</v>
      </c>
      <c r="C954" s="3">
        <v>2</v>
      </c>
      <c r="D954" s="2">
        <v>0</v>
      </c>
      <c r="E954" s="2">
        <f t="shared" si="23"/>
        <v>2</v>
      </c>
      <c r="F954" s="9">
        <v>8.9686098654708519E-3</v>
      </c>
    </row>
    <row r="955" spans="2:6" x14ac:dyDescent="0.35">
      <c r="B955" s="4" t="s">
        <v>244</v>
      </c>
      <c r="C955" s="3">
        <v>2</v>
      </c>
      <c r="D955" s="2">
        <v>2</v>
      </c>
      <c r="E955" s="2">
        <f t="shared" si="23"/>
        <v>4</v>
      </c>
      <c r="F955" s="9">
        <v>1.7937219730941704E-2</v>
      </c>
    </row>
    <row r="956" spans="2:6" x14ac:dyDescent="0.35">
      <c r="B956" s="4" t="s">
        <v>263</v>
      </c>
      <c r="C956" s="3">
        <v>1</v>
      </c>
      <c r="D956" s="2">
        <v>0</v>
      </c>
      <c r="E956" s="2">
        <f t="shared" si="23"/>
        <v>1</v>
      </c>
      <c r="F956" s="9">
        <v>4.4843049327354259E-3</v>
      </c>
    </row>
    <row r="957" spans="2:6" x14ac:dyDescent="0.35">
      <c r="B957" s="4" t="s">
        <v>276</v>
      </c>
      <c r="C957" s="3">
        <v>1</v>
      </c>
      <c r="D957" s="2">
        <v>0</v>
      </c>
      <c r="E957" s="2">
        <f t="shared" si="23"/>
        <v>1</v>
      </c>
      <c r="F957" s="9">
        <v>4.4843049327354259E-3</v>
      </c>
    </row>
    <row r="958" spans="2:6" x14ac:dyDescent="0.35">
      <c r="B958" s="4" t="s">
        <v>415</v>
      </c>
      <c r="C958" s="3">
        <v>1</v>
      </c>
      <c r="D958" s="2">
        <v>0</v>
      </c>
      <c r="E958" s="2">
        <f t="shared" si="23"/>
        <v>1</v>
      </c>
      <c r="F958" s="9">
        <v>4.4843049327354259E-3</v>
      </c>
    </row>
    <row r="959" spans="2:6" x14ac:dyDescent="0.35">
      <c r="B959" s="4" t="s">
        <v>208</v>
      </c>
      <c r="C959" s="3">
        <v>2</v>
      </c>
      <c r="D959" s="2">
        <v>0</v>
      </c>
      <c r="E959" s="2">
        <f t="shared" si="23"/>
        <v>2</v>
      </c>
      <c r="F959" s="9">
        <v>8.9686098654708519E-3</v>
      </c>
    </row>
    <row r="960" spans="2:6" x14ac:dyDescent="0.35">
      <c r="B960" s="4" t="s">
        <v>254</v>
      </c>
      <c r="C960" s="3">
        <v>1</v>
      </c>
      <c r="D960" s="2">
        <v>1</v>
      </c>
      <c r="E960" s="2">
        <f t="shared" si="23"/>
        <v>2</v>
      </c>
      <c r="F960" s="9">
        <v>8.9686098654708519E-3</v>
      </c>
    </row>
    <row r="961" spans="2:6" x14ac:dyDescent="0.35">
      <c r="B961" s="4" t="s">
        <v>321</v>
      </c>
      <c r="C961" s="3">
        <v>1</v>
      </c>
      <c r="D961" s="2">
        <v>0</v>
      </c>
      <c r="E961" s="2">
        <f t="shared" si="23"/>
        <v>1</v>
      </c>
      <c r="F961" s="9">
        <v>4.4843049327354259E-3</v>
      </c>
    </row>
    <row r="962" spans="2:6" x14ac:dyDescent="0.35">
      <c r="B962" s="4" t="s">
        <v>384</v>
      </c>
      <c r="C962" s="3">
        <v>2</v>
      </c>
      <c r="D962" s="2">
        <v>0</v>
      </c>
      <c r="E962" s="2">
        <f t="shared" si="23"/>
        <v>2</v>
      </c>
      <c r="F962" s="9">
        <v>8.9686098654708519E-3</v>
      </c>
    </row>
    <row r="963" spans="2:6" x14ac:dyDescent="0.35">
      <c r="B963" s="4" t="s">
        <v>123</v>
      </c>
      <c r="C963" s="3">
        <v>1</v>
      </c>
      <c r="D963" s="2">
        <v>0</v>
      </c>
      <c r="E963" s="2">
        <f t="shared" si="23"/>
        <v>1</v>
      </c>
      <c r="F963" s="9">
        <v>4.4843049327354259E-3</v>
      </c>
    </row>
    <row r="964" spans="2:6" x14ac:dyDescent="0.35">
      <c r="B964" s="4" t="s">
        <v>235</v>
      </c>
      <c r="C964" s="3">
        <v>2</v>
      </c>
      <c r="D964" s="2">
        <v>1</v>
      </c>
      <c r="E964" s="2">
        <f t="shared" ref="E964:E1027" si="25">C964+D964</f>
        <v>3</v>
      </c>
      <c r="F964" s="9">
        <v>1.3452914798206279E-2</v>
      </c>
    </row>
    <row r="965" spans="2:6" x14ac:dyDescent="0.35">
      <c r="B965" s="4" t="s">
        <v>313</v>
      </c>
      <c r="C965" s="3">
        <v>2</v>
      </c>
      <c r="D965" s="2">
        <v>0</v>
      </c>
      <c r="E965" s="2">
        <f t="shared" si="25"/>
        <v>2</v>
      </c>
      <c r="F965" s="9">
        <v>8.9686098654708519E-3</v>
      </c>
    </row>
    <row r="966" spans="2:6" x14ac:dyDescent="0.35">
      <c r="B966" s="4" t="s">
        <v>336</v>
      </c>
      <c r="C966" s="3">
        <v>1</v>
      </c>
      <c r="D966" s="2">
        <v>0</v>
      </c>
      <c r="E966" s="2">
        <f t="shared" si="25"/>
        <v>1</v>
      </c>
      <c r="F966" s="9">
        <v>4.4843049327354259E-3</v>
      </c>
    </row>
    <row r="967" spans="2:6" x14ac:dyDescent="0.35">
      <c r="B967" s="4" t="s">
        <v>335</v>
      </c>
      <c r="C967" s="3">
        <v>1</v>
      </c>
      <c r="D967" s="2">
        <v>0</v>
      </c>
      <c r="E967" s="2">
        <f t="shared" si="25"/>
        <v>1</v>
      </c>
      <c r="F967" s="9">
        <v>4.4843049327354259E-3</v>
      </c>
    </row>
    <row r="968" spans="2:6" x14ac:dyDescent="0.35">
      <c r="B968" s="4" t="s">
        <v>77</v>
      </c>
      <c r="C968" s="3">
        <v>4</v>
      </c>
      <c r="D968" s="2">
        <v>1</v>
      </c>
      <c r="E968" s="2">
        <f t="shared" si="25"/>
        <v>5</v>
      </c>
      <c r="F968" s="9">
        <v>2.2421524663677129E-2</v>
      </c>
    </row>
    <row r="969" spans="2:6" x14ac:dyDescent="0.35">
      <c r="B969" s="4" t="s">
        <v>64</v>
      </c>
      <c r="C969" s="3">
        <v>2</v>
      </c>
      <c r="D969" s="2">
        <v>0</v>
      </c>
      <c r="E969" s="2">
        <f t="shared" si="25"/>
        <v>2</v>
      </c>
      <c r="F969" s="9">
        <v>8.9686098654708519E-3</v>
      </c>
    </row>
    <row r="970" spans="2:6" x14ac:dyDescent="0.35">
      <c r="B970" s="4" t="s">
        <v>418</v>
      </c>
      <c r="C970" s="3">
        <v>1</v>
      </c>
      <c r="D970" s="2">
        <v>0</v>
      </c>
      <c r="E970" s="2">
        <f t="shared" si="25"/>
        <v>1</v>
      </c>
      <c r="F970" s="9">
        <v>4.4843049327354259E-3</v>
      </c>
    </row>
    <row r="971" spans="2:6" x14ac:dyDescent="0.35">
      <c r="B971" s="4" t="s">
        <v>151</v>
      </c>
      <c r="C971" s="3">
        <v>1</v>
      </c>
      <c r="D971" s="2">
        <v>1</v>
      </c>
      <c r="E971" s="2">
        <f t="shared" si="25"/>
        <v>2</v>
      </c>
      <c r="F971" s="9">
        <v>8.9686098654708519E-3</v>
      </c>
    </row>
    <row r="972" spans="2:6" x14ac:dyDescent="0.35">
      <c r="B972" s="4" t="s">
        <v>206</v>
      </c>
      <c r="C972" s="3">
        <v>1</v>
      </c>
      <c r="D972" s="2">
        <v>0</v>
      </c>
      <c r="E972" s="2">
        <f t="shared" si="25"/>
        <v>1</v>
      </c>
      <c r="F972" s="9">
        <v>4.4843049327354259E-3</v>
      </c>
    </row>
    <row r="973" spans="2:6" x14ac:dyDescent="0.35">
      <c r="B973" s="4" t="s">
        <v>265</v>
      </c>
      <c r="C973" s="3">
        <v>1</v>
      </c>
      <c r="D973" s="2">
        <v>0</v>
      </c>
      <c r="E973" s="2">
        <f t="shared" si="25"/>
        <v>1</v>
      </c>
      <c r="F973" s="9">
        <v>4.4843049327354259E-3</v>
      </c>
    </row>
    <row r="974" spans="2:6" x14ac:dyDescent="0.35">
      <c r="B974" s="4" t="s">
        <v>197</v>
      </c>
      <c r="C974" s="3">
        <v>2</v>
      </c>
      <c r="D974" s="2">
        <v>0</v>
      </c>
      <c r="E974" s="2">
        <f t="shared" si="25"/>
        <v>2</v>
      </c>
      <c r="F974" s="9">
        <v>8.9686098654708519E-3</v>
      </c>
    </row>
    <row r="975" spans="2:6" x14ac:dyDescent="0.35">
      <c r="B975" s="4" t="s">
        <v>285</v>
      </c>
      <c r="C975" s="3">
        <v>2</v>
      </c>
      <c r="D975" s="2">
        <v>1</v>
      </c>
      <c r="E975" s="2">
        <f t="shared" si="25"/>
        <v>3</v>
      </c>
      <c r="F975" s="9">
        <v>1.3452914798206279E-2</v>
      </c>
    </row>
    <row r="976" spans="2:6" x14ac:dyDescent="0.35">
      <c r="B976" s="4" t="s">
        <v>325</v>
      </c>
      <c r="C976" s="3">
        <v>2</v>
      </c>
      <c r="D976" s="2">
        <v>0</v>
      </c>
      <c r="E976" s="2">
        <f t="shared" si="25"/>
        <v>2</v>
      </c>
      <c r="F976" s="9">
        <v>8.9686098654708519E-3</v>
      </c>
    </row>
    <row r="977" spans="2:6" x14ac:dyDescent="0.35">
      <c r="B977" s="4" t="s">
        <v>352</v>
      </c>
      <c r="C977" s="3">
        <v>1</v>
      </c>
      <c r="D977" s="2">
        <v>0</v>
      </c>
      <c r="E977" s="2">
        <f t="shared" si="25"/>
        <v>1</v>
      </c>
      <c r="F977" s="9">
        <v>4.4843049327354259E-3</v>
      </c>
    </row>
    <row r="978" spans="2:6" x14ac:dyDescent="0.35">
      <c r="B978" s="4" t="s">
        <v>108</v>
      </c>
      <c r="C978" s="3">
        <v>2</v>
      </c>
      <c r="D978" s="2">
        <v>1</v>
      </c>
      <c r="E978" s="2">
        <f t="shared" si="25"/>
        <v>3</v>
      </c>
      <c r="F978" s="9">
        <v>1.3452914798206279E-2</v>
      </c>
    </row>
    <row r="979" spans="2:6" x14ac:dyDescent="0.35">
      <c r="B979" s="4" t="s">
        <v>364</v>
      </c>
      <c r="C979" s="3">
        <v>1</v>
      </c>
      <c r="D979" s="2">
        <v>0</v>
      </c>
      <c r="E979" s="2">
        <f t="shared" si="25"/>
        <v>1</v>
      </c>
      <c r="F979" s="9">
        <v>4.4843049327354259E-3</v>
      </c>
    </row>
    <row r="980" spans="2:6" x14ac:dyDescent="0.35">
      <c r="B980" s="4" t="s">
        <v>327</v>
      </c>
      <c r="C980" s="3">
        <v>1</v>
      </c>
      <c r="D980" s="2">
        <v>1</v>
      </c>
      <c r="E980" s="2">
        <f t="shared" si="25"/>
        <v>2</v>
      </c>
      <c r="F980" s="9">
        <v>8.9686098654708519E-3</v>
      </c>
    </row>
    <row r="981" spans="2:6" x14ac:dyDescent="0.35">
      <c r="B981" s="4" t="s">
        <v>390</v>
      </c>
      <c r="C981" s="3">
        <v>1</v>
      </c>
      <c r="D981" s="2">
        <v>0</v>
      </c>
      <c r="E981" s="2">
        <f t="shared" si="25"/>
        <v>1</v>
      </c>
      <c r="F981" s="9">
        <v>4.4843049327354259E-3</v>
      </c>
    </row>
    <row r="982" spans="2:6" x14ac:dyDescent="0.35">
      <c r="B982" s="4" t="s">
        <v>128</v>
      </c>
      <c r="C982" s="3">
        <v>2</v>
      </c>
      <c r="D982" s="2">
        <v>0</v>
      </c>
      <c r="E982" s="2">
        <f t="shared" si="25"/>
        <v>2</v>
      </c>
      <c r="F982" s="9">
        <v>8.9686098654708519E-3</v>
      </c>
    </row>
    <row r="983" spans="2:6" x14ac:dyDescent="0.35">
      <c r="B983" s="4" t="s">
        <v>351</v>
      </c>
      <c r="C983" s="3">
        <v>1</v>
      </c>
      <c r="D983" s="2">
        <v>0</v>
      </c>
      <c r="E983" s="2">
        <f t="shared" si="25"/>
        <v>1</v>
      </c>
      <c r="F983" s="9">
        <v>4.4843049327354259E-3</v>
      </c>
    </row>
    <row r="984" spans="2:6" x14ac:dyDescent="0.35">
      <c r="B984" s="4" t="s">
        <v>138</v>
      </c>
      <c r="C984" s="3">
        <v>1</v>
      </c>
      <c r="D984" s="2">
        <v>1</v>
      </c>
      <c r="E984" s="2">
        <f t="shared" si="25"/>
        <v>2</v>
      </c>
      <c r="F984" s="9">
        <v>8.9686098654708519E-3</v>
      </c>
    </row>
    <row r="985" spans="2:6" x14ac:dyDescent="0.35">
      <c r="B985" s="4" t="s">
        <v>362</v>
      </c>
      <c r="C985" s="3">
        <v>1</v>
      </c>
      <c r="D985" s="2">
        <v>0</v>
      </c>
      <c r="E985" s="2">
        <f t="shared" si="25"/>
        <v>1</v>
      </c>
      <c r="F985" s="9">
        <v>4.4843049327354259E-3</v>
      </c>
    </row>
    <row r="986" spans="2:6" x14ac:dyDescent="0.35">
      <c r="B986" s="4" t="s">
        <v>269</v>
      </c>
      <c r="C986" s="3">
        <v>1</v>
      </c>
      <c r="D986" s="2">
        <v>1</v>
      </c>
      <c r="E986" s="2">
        <f t="shared" si="25"/>
        <v>2</v>
      </c>
      <c r="F986" s="9">
        <v>8.9686098654708519E-3</v>
      </c>
    </row>
    <row r="987" spans="2:6" x14ac:dyDescent="0.35">
      <c r="B987" s="4" t="s">
        <v>160</v>
      </c>
      <c r="C987" s="3">
        <v>2</v>
      </c>
      <c r="D987" s="2">
        <v>1</v>
      </c>
      <c r="E987" s="2">
        <f t="shared" si="25"/>
        <v>3</v>
      </c>
      <c r="F987" s="9">
        <v>1.3452914798206279E-2</v>
      </c>
    </row>
    <row r="988" spans="2:6" x14ac:dyDescent="0.35">
      <c r="B988" s="4" t="s">
        <v>172</v>
      </c>
      <c r="C988" s="3">
        <v>1</v>
      </c>
      <c r="D988" s="2">
        <v>0</v>
      </c>
      <c r="E988" s="2">
        <f t="shared" si="25"/>
        <v>1</v>
      </c>
      <c r="F988" s="9">
        <v>4.4843049327354259E-3</v>
      </c>
    </row>
    <row r="989" spans="2:6" x14ac:dyDescent="0.35">
      <c r="B989" s="4" t="s">
        <v>411</v>
      </c>
      <c r="C989" s="3">
        <v>1</v>
      </c>
      <c r="D989" s="2">
        <v>0</v>
      </c>
      <c r="E989" s="2">
        <f t="shared" si="25"/>
        <v>1</v>
      </c>
      <c r="F989" s="9">
        <v>4.4843049327354259E-3</v>
      </c>
    </row>
    <row r="990" spans="2:6" x14ac:dyDescent="0.35">
      <c r="B990" s="4" t="s">
        <v>192</v>
      </c>
      <c r="C990" s="3">
        <v>1</v>
      </c>
      <c r="D990" s="2">
        <v>0</v>
      </c>
      <c r="E990" s="2">
        <f t="shared" si="25"/>
        <v>1</v>
      </c>
      <c r="F990" s="9">
        <v>4.4843049327354259E-3</v>
      </c>
    </row>
    <row r="991" spans="2:6" x14ac:dyDescent="0.35">
      <c r="B991" s="4" t="s">
        <v>215</v>
      </c>
      <c r="C991" s="3">
        <v>1</v>
      </c>
      <c r="D991" s="2">
        <v>0</v>
      </c>
      <c r="E991" s="2">
        <f t="shared" si="25"/>
        <v>1</v>
      </c>
      <c r="F991" s="9">
        <v>4.4843049327354259E-3</v>
      </c>
    </row>
    <row r="992" spans="2:6" x14ac:dyDescent="0.35">
      <c r="B992" s="4" t="s">
        <v>69</v>
      </c>
      <c r="C992" s="3">
        <v>3</v>
      </c>
      <c r="D992" s="2">
        <v>0</v>
      </c>
      <c r="E992" s="2">
        <f t="shared" si="25"/>
        <v>3</v>
      </c>
      <c r="F992" s="9">
        <v>1.3452914798206279E-2</v>
      </c>
    </row>
    <row r="993" spans="2:6" x14ac:dyDescent="0.35">
      <c r="B993" s="4" t="s">
        <v>238</v>
      </c>
      <c r="C993" s="3">
        <v>1</v>
      </c>
      <c r="D993" s="2">
        <v>0</v>
      </c>
      <c r="E993" s="2">
        <f t="shared" si="25"/>
        <v>1</v>
      </c>
      <c r="F993" s="9">
        <v>4.4843049327354259E-3</v>
      </c>
    </row>
    <row r="994" spans="2:6" x14ac:dyDescent="0.35">
      <c r="B994" s="4" t="s">
        <v>397</v>
      </c>
      <c r="C994" s="3">
        <v>1</v>
      </c>
      <c r="D994" s="2">
        <v>0</v>
      </c>
      <c r="E994" s="2">
        <f t="shared" si="25"/>
        <v>1</v>
      </c>
      <c r="F994" s="9">
        <v>4.4843049327354259E-3</v>
      </c>
    </row>
    <row r="995" spans="2:6" x14ac:dyDescent="0.35">
      <c r="B995" s="4" t="s">
        <v>198</v>
      </c>
      <c r="C995" s="3">
        <v>2</v>
      </c>
      <c r="D995" s="2">
        <v>0</v>
      </c>
      <c r="E995" s="2">
        <f t="shared" si="25"/>
        <v>2</v>
      </c>
      <c r="F995" s="9">
        <v>8.9686098654708519E-3</v>
      </c>
    </row>
    <row r="996" spans="2:6" x14ac:dyDescent="0.35">
      <c r="B996" s="4" t="s">
        <v>105</v>
      </c>
      <c r="C996" s="3">
        <v>2</v>
      </c>
      <c r="D996" s="2">
        <v>1</v>
      </c>
      <c r="E996" s="2">
        <f t="shared" si="25"/>
        <v>3</v>
      </c>
      <c r="F996" s="9">
        <v>1.3452914798206279E-2</v>
      </c>
    </row>
    <row r="997" spans="2:6" x14ac:dyDescent="0.35">
      <c r="B997" s="4" t="s">
        <v>296</v>
      </c>
      <c r="C997" s="3">
        <v>1</v>
      </c>
      <c r="D997" s="2">
        <v>0</v>
      </c>
      <c r="E997" s="2">
        <f t="shared" si="25"/>
        <v>1</v>
      </c>
      <c r="F997" s="9">
        <v>4.4843049327354259E-3</v>
      </c>
    </row>
    <row r="998" spans="2:6" x14ac:dyDescent="0.35">
      <c r="B998" s="4" t="s">
        <v>277</v>
      </c>
      <c r="C998" s="3">
        <v>1</v>
      </c>
      <c r="D998" s="2">
        <v>0</v>
      </c>
      <c r="E998" s="2">
        <f t="shared" si="25"/>
        <v>1</v>
      </c>
      <c r="F998" s="9">
        <v>4.4843049327354259E-3</v>
      </c>
    </row>
    <row r="999" spans="2:6" x14ac:dyDescent="0.35">
      <c r="B999" s="4" t="s">
        <v>216</v>
      </c>
      <c r="C999" s="3">
        <v>1</v>
      </c>
      <c r="D999" s="2">
        <v>1</v>
      </c>
      <c r="E999" s="2">
        <f t="shared" si="25"/>
        <v>2</v>
      </c>
      <c r="F999" s="9">
        <v>8.9686098654708519E-3</v>
      </c>
    </row>
    <row r="1000" spans="2:6" x14ac:dyDescent="0.35">
      <c r="B1000" s="4" t="s">
        <v>326</v>
      </c>
      <c r="C1000" s="3">
        <v>1</v>
      </c>
      <c r="D1000" s="2">
        <v>0</v>
      </c>
      <c r="E1000" s="2">
        <f t="shared" si="25"/>
        <v>1</v>
      </c>
      <c r="F1000" s="9">
        <v>4.4843049327354259E-3</v>
      </c>
    </row>
    <row r="1001" spans="2:6" x14ac:dyDescent="0.35">
      <c r="B1001" s="4" t="s">
        <v>229</v>
      </c>
      <c r="C1001" s="3">
        <v>2</v>
      </c>
      <c r="D1001" s="2">
        <v>0</v>
      </c>
      <c r="E1001" s="2">
        <f t="shared" si="25"/>
        <v>2</v>
      </c>
      <c r="F1001" s="9">
        <v>8.9686098654708519E-3</v>
      </c>
    </row>
    <row r="1002" spans="2:6" x14ac:dyDescent="0.35">
      <c r="B1002" s="4" t="s">
        <v>126</v>
      </c>
      <c r="C1002" s="3">
        <v>1</v>
      </c>
      <c r="D1002" s="2">
        <v>0</v>
      </c>
      <c r="E1002" s="2">
        <f t="shared" si="25"/>
        <v>1</v>
      </c>
      <c r="F1002" s="9">
        <v>4.4843049327354259E-3</v>
      </c>
    </row>
    <row r="1003" spans="2:6" x14ac:dyDescent="0.35">
      <c r="B1003" s="4" t="s">
        <v>318</v>
      </c>
      <c r="C1003" s="3">
        <v>1</v>
      </c>
      <c r="D1003" s="2">
        <v>2</v>
      </c>
      <c r="E1003" s="2">
        <f t="shared" si="25"/>
        <v>3</v>
      </c>
      <c r="F1003" s="9">
        <v>1.3452914798206279E-2</v>
      </c>
    </row>
    <row r="1004" spans="2:6" x14ac:dyDescent="0.35">
      <c r="B1004" s="4" t="s">
        <v>225</v>
      </c>
      <c r="C1004" s="3">
        <v>1</v>
      </c>
      <c r="D1004" s="2">
        <v>1</v>
      </c>
      <c r="E1004" s="2">
        <f t="shared" si="25"/>
        <v>2</v>
      </c>
      <c r="F1004" s="9">
        <v>8.9686098654708519E-3</v>
      </c>
    </row>
    <row r="1005" spans="2:6" x14ac:dyDescent="0.35">
      <c r="B1005" s="4" t="s">
        <v>278</v>
      </c>
      <c r="C1005" s="3">
        <v>1</v>
      </c>
      <c r="D1005" s="2">
        <v>0</v>
      </c>
      <c r="E1005" s="2">
        <f t="shared" si="25"/>
        <v>1</v>
      </c>
      <c r="F1005" s="9">
        <v>4.4843049327354259E-3</v>
      </c>
    </row>
    <row r="1006" spans="2:6" x14ac:dyDescent="0.35">
      <c r="B1006" s="4" t="s">
        <v>231</v>
      </c>
      <c r="C1006" s="3">
        <v>2</v>
      </c>
      <c r="D1006" s="2">
        <v>1</v>
      </c>
      <c r="E1006" s="2">
        <f t="shared" si="25"/>
        <v>3</v>
      </c>
      <c r="F1006" s="9">
        <v>1.3452914798206279E-2</v>
      </c>
    </row>
    <row r="1007" spans="2:6" x14ac:dyDescent="0.35">
      <c r="B1007" s="4" t="s">
        <v>177</v>
      </c>
      <c r="C1007" s="3">
        <v>1</v>
      </c>
      <c r="D1007" s="2">
        <v>1</v>
      </c>
      <c r="E1007" s="2">
        <f t="shared" si="25"/>
        <v>2</v>
      </c>
      <c r="F1007" s="9">
        <v>8.9686098654708519E-3</v>
      </c>
    </row>
    <row r="1008" spans="2:6" x14ac:dyDescent="0.35">
      <c r="B1008" s="4" t="s">
        <v>279</v>
      </c>
      <c r="C1008" s="3">
        <v>1</v>
      </c>
      <c r="D1008" s="2">
        <v>1</v>
      </c>
      <c r="E1008" s="2">
        <f t="shared" si="25"/>
        <v>2</v>
      </c>
      <c r="F1008" s="9">
        <v>8.9686098654708519E-3</v>
      </c>
    </row>
    <row r="1009" spans="2:6" x14ac:dyDescent="0.35">
      <c r="B1009" s="4" t="s">
        <v>356</v>
      </c>
      <c r="C1009" s="3">
        <v>2</v>
      </c>
      <c r="D1009" s="2">
        <v>1</v>
      </c>
      <c r="E1009" s="2">
        <f t="shared" si="25"/>
        <v>3</v>
      </c>
      <c r="F1009" s="9">
        <v>1.3452914798206279E-2</v>
      </c>
    </row>
    <row r="1010" spans="2:6" x14ac:dyDescent="0.35">
      <c r="B1010" s="4" t="s">
        <v>169</v>
      </c>
      <c r="C1010" s="3">
        <v>1</v>
      </c>
      <c r="D1010" s="2">
        <v>1</v>
      </c>
      <c r="E1010" s="2">
        <f t="shared" si="25"/>
        <v>2</v>
      </c>
      <c r="F1010" s="9">
        <v>8.9686098654708519E-3</v>
      </c>
    </row>
    <row r="1011" spans="2:6" x14ac:dyDescent="0.35">
      <c r="B1011" s="4" t="s">
        <v>284</v>
      </c>
      <c r="C1011" s="3">
        <v>1</v>
      </c>
      <c r="D1011" s="2">
        <v>0</v>
      </c>
      <c r="E1011" s="2">
        <f t="shared" si="25"/>
        <v>1</v>
      </c>
      <c r="F1011" s="9">
        <v>4.4843049327354259E-3</v>
      </c>
    </row>
    <row r="1012" spans="2:6" x14ac:dyDescent="0.35">
      <c r="B1012" s="4" t="s">
        <v>339</v>
      </c>
      <c r="C1012" s="3">
        <v>2</v>
      </c>
      <c r="D1012" s="2">
        <v>0</v>
      </c>
      <c r="E1012" s="2">
        <f t="shared" si="25"/>
        <v>2</v>
      </c>
      <c r="F1012" s="9">
        <v>8.9686098654708519E-3</v>
      </c>
    </row>
    <row r="1013" spans="2:6" x14ac:dyDescent="0.35">
      <c r="B1013" s="4" t="s">
        <v>133</v>
      </c>
      <c r="C1013" s="3">
        <v>2</v>
      </c>
      <c r="D1013" s="2">
        <v>0</v>
      </c>
      <c r="E1013" s="2">
        <f t="shared" si="25"/>
        <v>2</v>
      </c>
      <c r="F1013" s="9">
        <v>8.9686098654708519E-3</v>
      </c>
    </row>
    <row r="1014" spans="2:6" x14ac:dyDescent="0.35">
      <c r="B1014" s="4" t="s">
        <v>293</v>
      </c>
      <c r="C1014" s="3">
        <v>1</v>
      </c>
      <c r="D1014" s="2">
        <v>0</v>
      </c>
      <c r="E1014" s="2">
        <f t="shared" si="25"/>
        <v>1</v>
      </c>
      <c r="F1014" s="9">
        <v>4.4843049327354259E-3</v>
      </c>
    </row>
    <row r="1015" spans="2:6" x14ac:dyDescent="0.35">
      <c r="B1015" s="4" t="s">
        <v>286</v>
      </c>
      <c r="C1015" s="3">
        <v>1</v>
      </c>
      <c r="D1015" s="2">
        <v>1</v>
      </c>
      <c r="E1015" s="2">
        <f t="shared" si="25"/>
        <v>2</v>
      </c>
      <c r="F1015" s="9">
        <v>8.9686098654708519E-3</v>
      </c>
    </row>
    <row r="1016" spans="2:6" x14ac:dyDescent="0.35">
      <c r="B1016" s="4" t="s">
        <v>193</v>
      </c>
      <c r="C1016" s="3">
        <v>2</v>
      </c>
      <c r="D1016" s="2">
        <v>1</v>
      </c>
      <c r="E1016" s="2">
        <f t="shared" si="25"/>
        <v>3</v>
      </c>
      <c r="F1016" s="9">
        <v>1.3452914798206279E-2</v>
      </c>
    </row>
    <row r="1017" spans="2:6" x14ac:dyDescent="0.35">
      <c r="B1017" s="4" t="s">
        <v>334</v>
      </c>
      <c r="C1017" s="3">
        <v>1</v>
      </c>
      <c r="D1017" s="2">
        <v>0</v>
      </c>
      <c r="E1017" s="2">
        <f t="shared" si="25"/>
        <v>1</v>
      </c>
      <c r="F1017" s="9">
        <v>4.4843049327354259E-3</v>
      </c>
    </row>
    <row r="1018" spans="2:6" x14ac:dyDescent="0.35">
      <c r="B1018" s="4" t="s">
        <v>380</v>
      </c>
      <c r="C1018" s="3">
        <v>1</v>
      </c>
      <c r="D1018" s="2">
        <v>0</v>
      </c>
      <c r="E1018" s="2">
        <f t="shared" si="25"/>
        <v>1</v>
      </c>
      <c r="F1018" s="9">
        <v>4.4843049327354259E-3</v>
      </c>
    </row>
    <row r="1019" spans="2:6" x14ac:dyDescent="0.35">
      <c r="B1019" s="4" t="s">
        <v>217</v>
      </c>
      <c r="C1019" s="3">
        <v>2</v>
      </c>
      <c r="D1019" s="2">
        <v>0</v>
      </c>
      <c r="E1019" s="2">
        <f t="shared" si="25"/>
        <v>2</v>
      </c>
      <c r="F1019" s="9">
        <v>8.9686098654708519E-3</v>
      </c>
    </row>
    <row r="1020" spans="2:6" x14ac:dyDescent="0.35">
      <c r="B1020" s="4" t="s">
        <v>363</v>
      </c>
      <c r="C1020" s="3">
        <v>2</v>
      </c>
      <c r="D1020" s="2">
        <v>0</v>
      </c>
      <c r="E1020" s="2">
        <f t="shared" si="25"/>
        <v>2</v>
      </c>
      <c r="F1020" s="9">
        <v>8.9686098654708519E-3</v>
      </c>
    </row>
    <row r="1021" spans="2:6" x14ac:dyDescent="0.35">
      <c r="B1021" s="4" t="s">
        <v>58</v>
      </c>
      <c r="C1021" s="3">
        <v>2</v>
      </c>
      <c r="D1021" s="2">
        <v>0</v>
      </c>
      <c r="E1021" s="2">
        <f t="shared" si="25"/>
        <v>2</v>
      </c>
      <c r="F1021" s="9">
        <v>8.9686098654708519E-3</v>
      </c>
    </row>
    <row r="1022" spans="2:6" x14ac:dyDescent="0.35">
      <c r="B1022" s="4" t="s">
        <v>170</v>
      </c>
      <c r="C1022" s="3">
        <v>1</v>
      </c>
      <c r="D1022" s="2">
        <v>1</v>
      </c>
      <c r="E1022" s="2">
        <f t="shared" si="25"/>
        <v>2</v>
      </c>
      <c r="F1022" s="9">
        <v>8.9686098654708519E-3</v>
      </c>
    </row>
    <row r="1023" spans="2:6" x14ac:dyDescent="0.35">
      <c r="B1023" s="4" t="s">
        <v>175</v>
      </c>
      <c r="C1023" s="3">
        <v>2</v>
      </c>
      <c r="D1023" s="2">
        <v>1</v>
      </c>
      <c r="E1023" s="2">
        <f t="shared" si="25"/>
        <v>3</v>
      </c>
      <c r="F1023" s="9">
        <v>1.3452914798206279E-2</v>
      </c>
    </row>
    <row r="1024" spans="2:6" x14ac:dyDescent="0.35">
      <c r="B1024" s="4" t="s">
        <v>240</v>
      </c>
      <c r="C1024" s="3">
        <v>1</v>
      </c>
      <c r="D1024" s="2">
        <v>0</v>
      </c>
      <c r="E1024" s="2">
        <f t="shared" si="25"/>
        <v>1</v>
      </c>
      <c r="F1024" s="9">
        <v>4.4843049327354259E-3</v>
      </c>
    </row>
    <row r="1025" spans="2:6" x14ac:dyDescent="0.35">
      <c r="B1025" s="4" t="s">
        <v>306</v>
      </c>
      <c r="C1025" s="3">
        <v>1</v>
      </c>
      <c r="D1025" s="2">
        <v>0</v>
      </c>
      <c r="E1025" s="2">
        <f t="shared" si="25"/>
        <v>1</v>
      </c>
      <c r="F1025" s="9">
        <v>4.4843049327354259E-3</v>
      </c>
    </row>
    <row r="1026" spans="2:6" x14ac:dyDescent="0.35">
      <c r="B1026" s="4" t="s">
        <v>87</v>
      </c>
      <c r="C1026" s="3">
        <v>1</v>
      </c>
      <c r="D1026" s="2">
        <v>0</v>
      </c>
      <c r="E1026" s="2">
        <f t="shared" si="25"/>
        <v>1</v>
      </c>
      <c r="F1026" s="9">
        <v>4.4843049327354259E-3</v>
      </c>
    </row>
    <row r="1027" spans="2:6" x14ac:dyDescent="0.35">
      <c r="B1027" s="4" t="s">
        <v>303</v>
      </c>
      <c r="C1027" s="3">
        <v>1</v>
      </c>
      <c r="D1027" s="2">
        <v>0</v>
      </c>
      <c r="E1027" s="2">
        <f t="shared" si="25"/>
        <v>1</v>
      </c>
      <c r="F1027" s="9">
        <v>4.4843049327354259E-3</v>
      </c>
    </row>
    <row r="1028" spans="2:6" x14ac:dyDescent="0.35">
      <c r="B1028" s="4" t="s">
        <v>157</v>
      </c>
      <c r="C1028" s="3">
        <v>1</v>
      </c>
      <c r="D1028" s="2">
        <v>0</v>
      </c>
      <c r="E1028" s="2">
        <f t="shared" ref="E1028:E1091" si="26">C1028+D1028</f>
        <v>1</v>
      </c>
      <c r="F1028" s="9">
        <v>4.4843049327354259E-3</v>
      </c>
    </row>
    <row r="1029" spans="2:6" x14ac:dyDescent="0.35">
      <c r="B1029" s="4" t="s">
        <v>324</v>
      </c>
      <c r="C1029" s="3">
        <v>1</v>
      </c>
      <c r="D1029" s="2">
        <v>0</v>
      </c>
      <c r="E1029" s="2">
        <f t="shared" si="26"/>
        <v>1</v>
      </c>
      <c r="F1029" s="9">
        <v>4.4843049327354259E-3</v>
      </c>
    </row>
    <row r="1030" spans="2:6" x14ac:dyDescent="0.35">
      <c r="B1030" s="4" t="s">
        <v>180</v>
      </c>
      <c r="C1030" s="3">
        <v>1</v>
      </c>
      <c r="D1030" s="2">
        <v>1</v>
      </c>
      <c r="E1030" s="2">
        <f t="shared" si="26"/>
        <v>2</v>
      </c>
      <c r="F1030" s="9">
        <v>8.9686098654708519E-3</v>
      </c>
    </row>
    <row r="1031" spans="2:6" x14ac:dyDescent="0.35">
      <c r="B1031" s="4" t="s">
        <v>371</v>
      </c>
      <c r="C1031" s="3">
        <v>1</v>
      </c>
      <c r="D1031" s="2">
        <v>0</v>
      </c>
      <c r="E1031" s="2">
        <f t="shared" si="26"/>
        <v>1</v>
      </c>
      <c r="F1031" s="9">
        <v>4.4843049327354259E-3</v>
      </c>
    </row>
    <row r="1032" spans="2:6" x14ac:dyDescent="0.35">
      <c r="B1032" s="4" t="s">
        <v>377</v>
      </c>
      <c r="C1032" s="3">
        <v>1</v>
      </c>
      <c r="D1032" s="2">
        <v>0</v>
      </c>
      <c r="E1032" s="2">
        <f t="shared" si="26"/>
        <v>1</v>
      </c>
      <c r="F1032" s="9">
        <v>4.4843049327354259E-3</v>
      </c>
    </row>
    <row r="1033" spans="2:6" x14ac:dyDescent="0.35">
      <c r="B1033" s="4" t="s">
        <v>182</v>
      </c>
      <c r="C1033" s="3">
        <v>2</v>
      </c>
      <c r="D1033" s="2">
        <v>0</v>
      </c>
      <c r="E1033" s="2">
        <f t="shared" si="26"/>
        <v>2</v>
      </c>
      <c r="F1033" s="9">
        <v>8.9686098654708519E-3</v>
      </c>
    </row>
    <row r="1034" spans="2:6" x14ac:dyDescent="0.35">
      <c r="B1034" s="4" t="s">
        <v>310</v>
      </c>
      <c r="C1034" s="3">
        <v>1</v>
      </c>
      <c r="D1034" s="2">
        <v>0</v>
      </c>
      <c r="E1034" s="2">
        <f t="shared" si="26"/>
        <v>1</v>
      </c>
      <c r="F1034" s="9">
        <v>4.4843049327354259E-3</v>
      </c>
    </row>
    <row r="1035" spans="2:6" x14ac:dyDescent="0.35">
      <c r="B1035" s="4" t="s">
        <v>228</v>
      </c>
      <c r="C1035" s="3">
        <v>2</v>
      </c>
      <c r="D1035" s="2">
        <v>0</v>
      </c>
      <c r="E1035" s="2">
        <f t="shared" si="26"/>
        <v>2</v>
      </c>
      <c r="F1035" s="9">
        <v>8.9686098654708519E-3</v>
      </c>
    </row>
    <row r="1036" spans="2:6" x14ac:dyDescent="0.35">
      <c r="B1036" s="4" t="s">
        <v>404</v>
      </c>
      <c r="C1036" s="3">
        <v>1</v>
      </c>
      <c r="D1036" s="2">
        <v>0</v>
      </c>
      <c r="E1036" s="2">
        <f t="shared" si="26"/>
        <v>1</v>
      </c>
      <c r="F1036" s="9">
        <v>4.4843049327354259E-3</v>
      </c>
    </row>
    <row r="1037" spans="2:6" x14ac:dyDescent="0.35">
      <c r="B1037" s="4" t="s">
        <v>290</v>
      </c>
      <c r="C1037" s="3">
        <v>2</v>
      </c>
      <c r="D1037" s="2">
        <v>0</v>
      </c>
      <c r="E1037" s="2">
        <f t="shared" si="26"/>
        <v>2</v>
      </c>
      <c r="F1037" s="9">
        <v>8.9686098654708519E-3</v>
      </c>
    </row>
    <row r="1038" spans="2:6" x14ac:dyDescent="0.35">
      <c r="B1038" s="4" t="s">
        <v>104</v>
      </c>
      <c r="C1038" s="3">
        <v>1</v>
      </c>
      <c r="D1038" s="2">
        <v>0</v>
      </c>
      <c r="E1038" s="2">
        <f t="shared" si="26"/>
        <v>1</v>
      </c>
      <c r="F1038" s="9">
        <v>4.4843049327354259E-3</v>
      </c>
    </row>
    <row r="1039" spans="2:6" x14ac:dyDescent="0.35">
      <c r="B1039" s="4" t="s">
        <v>307</v>
      </c>
      <c r="C1039" s="3">
        <v>3</v>
      </c>
      <c r="D1039" s="2">
        <v>0</v>
      </c>
      <c r="E1039" s="2">
        <f t="shared" si="26"/>
        <v>3</v>
      </c>
      <c r="F1039" s="9">
        <v>1.3452914798206279E-2</v>
      </c>
    </row>
    <row r="1040" spans="2:6" x14ac:dyDescent="0.35">
      <c r="B1040" s="4" t="s">
        <v>274</v>
      </c>
      <c r="C1040" s="3">
        <v>1</v>
      </c>
      <c r="D1040" s="2">
        <v>1</v>
      </c>
      <c r="E1040" s="2">
        <f t="shared" si="26"/>
        <v>2</v>
      </c>
      <c r="F1040" s="9">
        <v>8.9686098654708519E-3</v>
      </c>
    </row>
    <row r="1041" spans="2:6" x14ac:dyDescent="0.35">
      <c r="B1041" s="4" t="s">
        <v>343</v>
      </c>
      <c r="C1041" s="3">
        <v>1</v>
      </c>
      <c r="D1041" s="2">
        <v>0</v>
      </c>
      <c r="E1041" s="2">
        <f t="shared" si="26"/>
        <v>1</v>
      </c>
      <c r="F1041" s="9">
        <v>4.4843049327354259E-3</v>
      </c>
    </row>
    <row r="1042" spans="2:6" x14ac:dyDescent="0.35">
      <c r="B1042" s="4" t="s">
        <v>357</v>
      </c>
      <c r="C1042" s="3">
        <v>1</v>
      </c>
      <c r="D1042" s="2">
        <v>0</v>
      </c>
      <c r="E1042" s="2">
        <f t="shared" si="26"/>
        <v>1</v>
      </c>
      <c r="F1042" s="9">
        <v>4.4843049327354259E-3</v>
      </c>
    </row>
    <row r="1043" spans="2:6" x14ac:dyDescent="0.35">
      <c r="B1043" s="4" t="s">
        <v>186</v>
      </c>
      <c r="C1043" s="3">
        <v>2</v>
      </c>
      <c r="D1043" s="2">
        <v>1</v>
      </c>
      <c r="E1043" s="2">
        <f t="shared" si="26"/>
        <v>3</v>
      </c>
      <c r="F1043" s="9">
        <v>1.3452914798206279E-2</v>
      </c>
    </row>
    <row r="1044" spans="2:6" x14ac:dyDescent="0.35">
      <c r="B1044" s="4" t="s">
        <v>188</v>
      </c>
      <c r="C1044" s="3">
        <v>2</v>
      </c>
      <c r="D1044" s="2">
        <v>1</v>
      </c>
      <c r="E1044" s="2">
        <f t="shared" si="26"/>
        <v>3</v>
      </c>
      <c r="F1044" s="9">
        <v>1.3452914798206279E-2</v>
      </c>
    </row>
    <row r="1045" spans="2:6" x14ac:dyDescent="0.35">
      <c r="B1045" s="4" t="s">
        <v>124</v>
      </c>
      <c r="C1045" s="3">
        <v>2</v>
      </c>
      <c r="D1045" s="2">
        <v>0</v>
      </c>
      <c r="E1045" s="2">
        <f t="shared" si="26"/>
        <v>2</v>
      </c>
      <c r="F1045" s="9">
        <v>8.9686098654708519E-3</v>
      </c>
    </row>
    <row r="1046" spans="2:6" x14ac:dyDescent="0.35">
      <c r="B1046" s="4" t="s">
        <v>346</v>
      </c>
      <c r="C1046" s="3">
        <v>2</v>
      </c>
      <c r="D1046" s="2">
        <v>0</v>
      </c>
      <c r="E1046" s="2">
        <f t="shared" si="26"/>
        <v>2</v>
      </c>
      <c r="F1046" s="9">
        <v>8.9686098654708519E-3</v>
      </c>
    </row>
    <row r="1047" spans="2:6" x14ac:dyDescent="0.35">
      <c r="B1047" s="4" t="s">
        <v>242</v>
      </c>
      <c r="C1047" s="3">
        <v>3</v>
      </c>
      <c r="D1047" s="2">
        <v>1</v>
      </c>
      <c r="E1047" s="2">
        <f t="shared" si="26"/>
        <v>4</v>
      </c>
      <c r="F1047" s="9">
        <v>1.7937219730941704E-2</v>
      </c>
    </row>
    <row r="1048" spans="2:6" x14ac:dyDescent="0.35">
      <c r="B1048" s="4" t="s">
        <v>273</v>
      </c>
      <c r="C1048" s="3">
        <v>1</v>
      </c>
      <c r="D1048" s="2">
        <v>1</v>
      </c>
      <c r="E1048" s="2">
        <f t="shared" si="26"/>
        <v>2</v>
      </c>
      <c r="F1048" s="9">
        <v>8.9686098654708519E-3</v>
      </c>
    </row>
    <row r="1049" spans="2:6" x14ac:dyDescent="0.35">
      <c r="B1049" s="4" t="s">
        <v>248</v>
      </c>
      <c r="C1049" s="3">
        <v>1</v>
      </c>
      <c r="D1049" s="2">
        <v>0</v>
      </c>
      <c r="E1049" s="2">
        <f t="shared" si="26"/>
        <v>1</v>
      </c>
      <c r="F1049" s="9">
        <v>4.4843049327354259E-3</v>
      </c>
    </row>
    <row r="1050" spans="2:6" x14ac:dyDescent="0.35">
      <c r="B1050" s="4" t="s">
        <v>141</v>
      </c>
      <c r="C1050" s="3">
        <v>1</v>
      </c>
      <c r="D1050" s="2">
        <v>0</v>
      </c>
      <c r="E1050" s="2">
        <f t="shared" si="26"/>
        <v>1</v>
      </c>
      <c r="F1050" s="9">
        <v>4.4843049327354259E-3</v>
      </c>
    </row>
    <row r="1051" spans="2:6" x14ac:dyDescent="0.35">
      <c r="B1051" s="4" t="s">
        <v>114</v>
      </c>
      <c r="C1051" s="3">
        <v>1</v>
      </c>
      <c r="D1051" s="2">
        <v>0</v>
      </c>
      <c r="E1051" s="2">
        <f t="shared" si="26"/>
        <v>1</v>
      </c>
      <c r="F1051" s="9">
        <v>4.4843049327354259E-3</v>
      </c>
    </row>
    <row r="1052" spans="2:6" x14ac:dyDescent="0.35">
      <c r="B1052" s="4" t="s">
        <v>230</v>
      </c>
      <c r="C1052" s="3">
        <v>1</v>
      </c>
      <c r="D1052" s="2">
        <v>0</v>
      </c>
      <c r="E1052" s="2">
        <f t="shared" si="26"/>
        <v>1</v>
      </c>
      <c r="F1052" s="9">
        <v>4.4843049327354259E-3</v>
      </c>
    </row>
    <row r="1053" spans="2:6" x14ac:dyDescent="0.35">
      <c r="B1053" s="4" t="s">
        <v>417</v>
      </c>
      <c r="C1053" s="3">
        <v>1</v>
      </c>
      <c r="D1053" s="2">
        <v>0</v>
      </c>
      <c r="E1053" s="2">
        <f t="shared" si="26"/>
        <v>1</v>
      </c>
      <c r="F1053" s="9">
        <v>4.4843049327354259E-3</v>
      </c>
    </row>
    <row r="1054" spans="2:6" x14ac:dyDescent="0.35">
      <c r="B1054" s="4" t="s">
        <v>224</v>
      </c>
      <c r="C1054" s="3">
        <v>1</v>
      </c>
      <c r="D1054" s="2">
        <v>1</v>
      </c>
      <c r="E1054" s="2">
        <f t="shared" si="26"/>
        <v>2</v>
      </c>
      <c r="F1054" s="9">
        <v>8.9686098654708519E-3</v>
      </c>
    </row>
    <row r="1055" spans="2:6" x14ac:dyDescent="0.35">
      <c r="B1055" s="4" t="s">
        <v>90</v>
      </c>
      <c r="C1055" s="3">
        <v>2</v>
      </c>
      <c r="D1055" s="2">
        <v>0</v>
      </c>
      <c r="E1055" s="2">
        <f t="shared" si="26"/>
        <v>2</v>
      </c>
      <c r="F1055" s="9">
        <v>8.9686098654708519E-3</v>
      </c>
    </row>
    <row r="1056" spans="2:6" x14ac:dyDescent="0.35">
      <c r="B1056" s="4" t="s">
        <v>379</v>
      </c>
      <c r="C1056" s="3">
        <v>2</v>
      </c>
      <c r="D1056" s="2">
        <v>0</v>
      </c>
      <c r="E1056" s="2">
        <f t="shared" si="26"/>
        <v>2</v>
      </c>
      <c r="F1056" s="9">
        <v>8.9686098654708519E-3</v>
      </c>
    </row>
    <row r="1057" spans="1:6" x14ac:dyDescent="0.35">
      <c r="A1057" s="17" t="s">
        <v>469</v>
      </c>
      <c r="B1057" s="12" t="s">
        <v>462</v>
      </c>
      <c r="C1057" s="13">
        <f>SUM(C1058:C1119)</f>
        <v>0</v>
      </c>
      <c r="D1057" s="13">
        <f t="shared" ref="D1057:E1057" si="27">SUM(D1058:D1119)</f>
        <v>71</v>
      </c>
      <c r="E1057" s="13">
        <f t="shared" si="27"/>
        <v>71</v>
      </c>
      <c r="F1057" s="12"/>
    </row>
    <row r="1058" spans="1:6" x14ac:dyDescent="0.35">
      <c r="B1058" s="4" t="s">
        <v>470</v>
      </c>
      <c r="D1058" s="3">
        <v>1</v>
      </c>
      <c r="E1058" s="2">
        <f t="shared" si="26"/>
        <v>1</v>
      </c>
      <c r="F1058" s="9">
        <v>1.4084507042253521E-2</v>
      </c>
    </row>
    <row r="1059" spans="1:6" x14ac:dyDescent="0.35">
      <c r="B1059" s="4" t="s">
        <v>38</v>
      </c>
      <c r="D1059" s="3">
        <v>1</v>
      </c>
      <c r="E1059" s="2">
        <f t="shared" si="26"/>
        <v>1</v>
      </c>
      <c r="F1059" s="9">
        <v>1.4084507042253521E-2</v>
      </c>
    </row>
    <row r="1060" spans="1:6" x14ac:dyDescent="0.35">
      <c r="B1060" s="4" t="s">
        <v>471</v>
      </c>
      <c r="D1060" s="3">
        <v>1</v>
      </c>
      <c r="E1060" s="2">
        <f t="shared" si="26"/>
        <v>1</v>
      </c>
      <c r="F1060" s="9">
        <v>1.4084507042253521E-2</v>
      </c>
    </row>
    <row r="1061" spans="1:6" x14ac:dyDescent="0.35">
      <c r="B1061" s="4" t="s">
        <v>22</v>
      </c>
      <c r="D1061" s="3">
        <v>1</v>
      </c>
      <c r="E1061" s="2">
        <f t="shared" si="26"/>
        <v>1</v>
      </c>
      <c r="F1061" s="9">
        <v>1.4084507042253521E-2</v>
      </c>
    </row>
    <row r="1062" spans="1:6" x14ac:dyDescent="0.35">
      <c r="B1062" s="4" t="s">
        <v>115</v>
      </c>
      <c r="D1062" s="3">
        <v>1</v>
      </c>
      <c r="E1062" s="2">
        <f t="shared" si="26"/>
        <v>1</v>
      </c>
      <c r="F1062" s="9">
        <v>1.4084507042253521E-2</v>
      </c>
    </row>
    <row r="1063" spans="1:6" x14ac:dyDescent="0.35">
      <c r="B1063" s="4" t="s">
        <v>472</v>
      </c>
      <c r="D1063" s="3">
        <v>1</v>
      </c>
      <c r="E1063" s="2">
        <f t="shared" si="26"/>
        <v>1</v>
      </c>
      <c r="F1063" s="9">
        <v>1.4084507042253521E-2</v>
      </c>
    </row>
    <row r="1064" spans="1:6" x14ac:dyDescent="0.35">
      <c r="B1064" s="4" t="s">
        <v>146</v>
      </c>
      <c r="D1064" s="3">
        <v>1</v>
      </c>
      <c r="E1064" s="2">
        <f t="shared" si="26"/>
        <v>1</v>
      </c>
      <c r="F1064" s="9">
        <v>1.4084507042253521E-2</v>
      </c>
    </row>
    <row r="1065" spans="1:6" x14ac:dyDescent="0.35">
      <c r="B1065" s="4" t="s">
        <v>234</v>
      </c>
      <c r="D1065" s="3">
        <v>1</v>
      </c>
      <c r="E1065" s="2">
        <f t="shared" si="26"/>
        <v>1</v>
      </c>
      <c r="F1065" s="9">
        <v>1.4084507042253521E-2</v>
      </c>
    </row>
    <row r="1066" spans="1:6" x14ac:dyDescent="0.35">
      <c r="B1066" s="4" t="s">
        <v>220</v>
      </c>
      <c r="D1066" s="3">
        <v>1</v>
      </c>
      <c r="E1066" s="2">
        <f t="shared" si="26"/>
        <v>1</v>
      </c>
      <c r="F1066" s="9">
        <v>1.4084507042253521E-2</v>
      </c>
    </row>
    <row r="1067" spans="1:6" x14ac:dyDescent="0.35">
      <c r="B1067" s="4" t="s">
        <v>173</v>
      </c>
      <c r="D1067" s="3">
        <v>1</v>
      </c>
      <c r="E1067" s="2">
        <f t="shared" si="26"/>
        <v>1</v>
      </c>
      <c r="F1067" s="9">
        <v>1.4084507042253521E-2</v>
      </c>
    </row>
    <row r="1068" spans="1:6" x14ac:dyDescent="0.35">
      <c r="B1068" s="4" t="s">
        <v>276</v>
      </c>
      <c r="D1068" s="3">
        <v>1</v>
      </c>
      <c r="E1068" s="2">
        <f t="shared" si="26"/>
        <v>1</v>
      </c>
      <c r="F1068" s="9">
        <v>1.4084507042253521E-2</v>
      </c>
    </row>
    <row r="1069" spans="1:6" x14ac:dyDescent="0.35">
      <c r="B1069" s="4" t="s">
        <v>337</v>
      </c>
      <c r="D1069" s="3">
        <v>1</v>
      </c>
      <c r="E1069" s="2">
        <f t="shared" si="26"/>
        <v>1</v>
      </c>
      <c r="F1069" s="9">
        <v>1.4084507042253521E-2</v>
      </c>
    </row>
    <row r="1070" spans="1:6" x14ac:dyDescent="0.35">
      <c r="B1070" s="4" t="s">
        <v>208</v>
      </c>
      <c r="D1070" s="3">
        <v>1</v>
      </c>
      <c r="E1070" s="2">
        <f t="shared" si="26"/>
        <v>1</v>
      </c>
      <c r="F1070" s="9">
        <v>1.4084507042253521E-2</v>
      </c>
    </row>
    <row r="1071" spans="1:6" x14ac:dyDescent="0.35">
      <c r="B1071" s="4" t="s">
        <v>321</v>
      </c>
      <c r="D1071" s="3">
        <v>1</v>
      </c>
      <c r="E1071" s="2">
        <f t="shared" si="26"/>
        <v>1</v>
      </c>
      <c r="F1071" s="9">
        <v>1.4084507042253521E-2</v>
      </c>
    </row>
    <row r="1072" spans="1:6" x14ac:dyDescent="0.35">
      <c r="B1072" s="4" t="s">
        <v>92</v>
      </c>
      <c r="D1072" s="3">
        <v>1</v>
      </c>
      <c r="E1072" s="2">
        <f t="shared" si="26"/>
        <v>1</v>
      </c>
      <c r="F1072" s="9">
        <v>1.4084507042253521E-2</v>
      </c>
    </row>
    <row r="1073" spans="2:6" x14ac:dyDescent="0.35">
      <c r="B1073" s="4" t="s">
        <v>235</v>
      </c>
      <c r="D1073" s="3">
        <v>1</v>
      </c>
      <c r="E1073" s="2">
        <f t="shared" si="26"/>
        <v>1</v>
      </c>
      <c r="F1073" s="9">
        <v>1.4084507042253521E-2</v>
      </c>
    </row>
    <row r="1074" spans="2:6" x14ac:dyDescent="0.35">
      <c r="B1074" s="4" t="s">
        <v>159</v>
      </c>
      <c r="D1074" s="3">
        <v>1</v>
      </c>
      <c r="E1074" s="2">
        <f t="shared" si="26"/>
        <v>1</v>
      </c>
      <c r="F1074" s="9">
        <v>1.4084507042253521E-2</v>
      </c>
    </row>
    <row r="1075" spans="2:6" x14ac:dyDescent="0.35">
      <c r="B1075" s="4" t="s">
        <v>473</v>
      </c>
      <c r="D1075" s="3">
        <v>1</v>
      </c>
      <c r="E1075" s="2">
        <f t="shared" si="26"/>
        <v>1</v>
      </c>
      <c r="F1075" s="9">
        <v>1.4084507042253521E-2</v>
      </c>
    </row>
    <row r="1076" spans="2:6" x14ac:dyDescent="0.35">
      <c r="B1076" s="4" t="s">
        <v>474</v>
      </c>
      <c r="D1076" s="3">
        <v>3</v>
      </c>
      <c r="E1076" s="2">
        <f t="shared" si="26"/>
        <v>3</v>
      </c>
      <c r="F1076" s="9">
        <v>4.2253521126760563E-2</v>
      </c>
    </row>
    <row r="1077" spans="2:6" x14ac:dyDescent="0.35">
      <c r="B1077" s="4" t="s">
        <v>253</v>
      </c>
      <c r="D1077" s="3">
        <v>1</v>
      </c>
      <c r="E1077" s="2">
        <f t="shared" si="26"/>
        <v>1</v>
      </c>
      <c r="F1077" s="9">
        <v>1.4084507042253521E-2</v>
      </c>
    </row>
    <row r="1078" spans="2:6" x14ac:dyDescent="0.35">
      <c r="B1078" s="4" t="s">
        <v>77</v>
      </c>
      <c r="D1078" s="3">
        <v>1</v>
      </c>
      <c r="E1078" s="2">
        <f t="shared" si="26"/>
        <v>1</v>
      </c>
      <c r="F1078" s="9">
        <v>1.4084507042253521E-2</v>
      </c>
    </row>
    <row r="1079" spans="2:6" x14ac:dyDescent="0.35">
      <c r="B1079" s="4" t="s">
        <v>265</v>
      </c>
      <c r="D1079" s="3">
        <v>1</v>
      </c>
      <c r="E1079" s="2">
        <f t="shared" si="26"/>
        <v>1</v>
      </c>
      <c r="F1079" s="9">
        <v>1.4084507042253521E-2</v>
      </c>
    </row>
    <row r="1080" spans="2:6" x14ac:dyDescent="0.35">
      <c r="B1080" s="4" t="s">
        <v>285</v>
      </c>
      <c r="D1080" s="3">
        <v>1</v>
      </c>
      <c r="E1080" s="2">
        <f t="shared" si="26"/>
        <v>1</v>
      </c>
      <c r="F1080" s="9">
        <v>1.4084507042253521E-2</v>
      </c>
    </row>
    <row r="1081" spans="2:6" x14ac:dyDescent="0.35">
      <c r="B1081" s="4" t="s">
        <v>108</v>
      </c>
      <c r="D1081" s="3">
        <v>1</v>
      </c>
      <c r="E1081" s="2">
        <f t="shared" si="26"/>
        <v>1</v>
      </c>
      <c r="F1081" s="9">
        <v>1.4084507042253521E-2</v>
      </c>
    </row>
    <row r="1082" spans="2:6" x14ac:dyDescent="0.35">
      <c r="B1082" s="4" t="s">
        <v>128</v>
      </c>
      <c r="D1082" s="3">
        <v>1</v>
      </c>
      <c r="E1082" s="2">
        <f t="shared" si="26"/>
        <v>1</v>
      </c>
      <c r="F1082" s="9">
        <v>1.4084507042253521E-2</v>
      </c>
    </row>
    <row r="1083" spans="2:6" x14ac:dyDescent="0.35">
      <c r="B1083" s="4" t="s">
        <v>241</v>
      </c>
      <c r="D1083" s="3">
        <v>2</v>
      </c>
      <c r="E1083" s="2">
        <f t="shared" si="26"/>
        <v>2</v>
      </c>
      <c r="F1083" s="9">
        <v>2.8169014084507043E-2</v>
      </c>
    </row>
    <row r="1084" spans="2:6" x14ac:dyDescent="0.35">
      <c r="B1084" s="4" t="s">
        <v>194</v>
      </c>
      <c r="D1084" s="3">
        <v>1</v>
      </c>
      <c r="E1084" s="2">
        <f t="shared" si="26"/>
        <v>1</v>
      </c>
      <c r="F1084" s="9">
        <v>1.4084507042253521E-2</v>
      </c>
    </row>
    <row r="1085" spans="2:6" x14ac:dyDescent="0.35">
      <c r="B1085" s="4" t="s">
        <v>475</v>
      </c>
      <c r="D1085" s="3">
        <v>1</v>
      </c>
      <c r="E1085" s="2">
        <f t="shared" si="26"/>
        <v>1</v>
      </c>
      <c r="F1085" s="9">
        <v>1.4084507042253521E-2</v>
      </c>
    </row>
    <row r="1086" spans="2:6" x14ac:dyDescent="0.35">
      <c r="B1086" s="4" t="s">
        <v>476</v>
      </c>
      <c r="D1086" s="3">
        <v>1</v>
      </c>
      <c r="E1086" s="2">
        <f t="shared" si="26"/>
        <v>1</v>
      </c>
      <c r="F1086" s="9">
        <v>1.4084507042253521E-2</v>
      </c>
    </row>
    <row r="1087" spans="2:6" x14ac:dyDescent="0.35">
      <c r="B1087" s="4" t="s">
        <v>212</v>
      </c>
      <c r="D1087" s="3">
        <v>1</v>
      </c>
      <c r="E1087" s="2">
        <f t="shared" si="26"/>
        <v>1</v>
      </c>
      <c r="F1087" s="9">
        <v>1.4084507042253521E-2</v>
      </c>
    </row>
    <row r="1088" spans="2:6" x14ac:dyDescent="0.35">
      <c r="B1088" s="4" t="s">
        <v>211</v>
      </c>
      <c r="D1088" s="3">
        <v>1</v>
      </c>
      <c r="E1088" s="2">
        <f t="shared" si="26"/>
        <v>1</v>
      </c>
      <c r="F1088" s="9">
        <v>1.4084507042253521E-2</v>
      </c>
    </row>
    <row r="1089" spans="2:6" x14ac:dyDescent="0.35">
      <c r="B1089" s="4" t="s">
        <v>239</v>
      </c>
      <c r="D1089" s="3">
        <v>1</v>
      </c>
      <c r="E1089" s="2">
        <f t="shared" si="26"/>
        <v>1</v>
      </c>
      <c r="F1089" s="9">
        <v>1.4084507042253521E-2</v>
      </c>
    </row>
    <row r="1090" spans="2:6" x14ac:dyDescent="0.35">
      <c r="B1090" s="4" t="s">
        <v>158</v>
      </c>
      <c r="D1090" s="3">
        <v>1</v>
      </c>
      <c r="E1090" s="2">
        <f t="shared" si="26"/>
        <v>1</v>
      </c>
      <c r="F1090" s="9">
        <v>1.4084507042253521E-2</v>
      </c>
    </row>
    <row r="1091" spans="2:6" x14ac:dyDescent="0.35">
      <c r="B1091" s="4" t="s">
        <v>238</v>
      </c>
      <c r="D1091" s="3">
        <v>1</v>
      </c>
      <c r="E1091" s="2">
        <f t="shared" si="26"/>
        <v>1</v>
      </c>
      <c r="F1091" s="9">
        <v>1.4084507042253521E-2</v>
      </c>
    </row>
    <row r="1092" spans="2:6" x14ac:dyDescent="0.35">
      <c r="B1092" s="4" t="s">
        <v>477</v>
      </c>
      <c r="D1092" s="3">
        <v>1</v>
      </c>
      <c r="E1092" s="2">
        <f t="shared" ref="E1092:E1120" si="28">C1092+D1092</f>
        <v>1</v>
      </c>
      <c r="F1092" s="9">
        <v>1.4084507042253521E-2</v>
      </c>
    </row>
    <row r="1093" spans="2:6" x14ac:dyDescent="0.35">
      <c r="B1093" s="4" t="s">
        <v>332</v>
      </c>
      <c r="D1093" s="3">
        <v>1</v>
      </c>
      <c r="E1093" s="2">
        <f t="shared" si="28"/>
        <v>1</v>
      </c>
      <c r="F1093" s="9">
        <v>1.4084507042253521E-2</v>
      </c>
    </row>
    <row r="1094" spans="2:6" x14ac:dyDescent="0.35">
      <c r="B1094" s="4" t="s">
        <v>136</v>
      </c>
      <c r="D1094" s="3">
        <v>1</v>
      </c>
      <c r="E1094" s="2">
        <f t="shared" si="28"/>
        <v>1</v>
      </c>
      <c r="F1094" s="9">
        <v>1.4084507042253521E-2</v>
      </c>
    </row>
    <row r="1095" spans="2:6" x14ac:dyDescent="0.35">
      <c r="B1095" s="4" t="s">
        <v>293</v>
      </c>
      <c r="D1095" s="3">
        <v>1</v>
      </c>
      <c r="E1095" s="2">
        <f t="shared" si="28"/>
        <v>1</v>
      </c>
      <c r="F1095" s="9">
        <v>1.4084507042253521E-2</v>
      </c>
    </row>
    <row r="1096" spans="2:6" x14ac:dyDescent="0.35">
      <c r="B1096" s="4" t="s">
        <v>203</v>
      </c>
      <c r="D1096" s="3">
        <v>1</v>
      </c>
      <c r="E1096" s="2">
        <f t="shared" si="28"/>
        <v>1</v>
      </c>
      <c r="F1096" s="9">
        <v>1.4084507042253521E-2</v>
      </c>
    </row>
    <row r="1097" spans="2:6" x14ac:dyDescent="0.35">
      <c r="B1097" s="4" t="s">
        <v>478</v>
      </c>
      <c r="D1097" s="3">
        <v>1</v>
      </c>
      <c r="E1097" s="2">
        <f t="shared" si="28"/>
        <v>1</v>
      </c>
      <c r="F1097" s="9">
        <v>1.4084507042253521E-2</v>
      </c>
    </row>
    <row r="1098" spans="2:6" x14ac:dyDescent="0.35">
      <c r="B1098" s="4" t="s">
        <v>334</v>
      </c>
      <c r="D1098" s="3">
        <v>1</v>
      </c>
      <c r="E1098" s="2">
        <f t="shared" si="28"/>
        <v>1</v>
      </c>
      <c r="F1098" s="9">
        <v>1.4084507042253521E-2</v>
      </c>
    </row>
    <row r="1099" spans="2:6" x14ac:dyDescent="0.35">
      <c r="B1099" s="4" t="s">
        <v>175</v>
      </c>
      <c r="D1099" s="3">
        <v>3</v>
      </c>
      <c r="E1099" s="2">
        <f t="shared" si="28"/>
        <v>3</v>
      </c>
      <c r="F1099" s="9">
        <v>4.2253521126760563E-2</v>
      </c>
    </row>
    <row r="1100" spans="2:6" x14ac:dyDescent="0.35">
      <c r="B1100" s="4" t="s">
        <v>314</v>
      </c>
      <c r="D1100" s="3">
        <v>1</v>
      </c>
      <c r="E1100" s="2">
        <f t="shared" si="28"/>
        <v>1</v>
      </c>
      <c r="F1100" s="9">
        <v>1.4084507042253521E-2</v>
      </c>
    </row>
    <row r="1101" spans="2:6" x14ac:dyDescent="0.35">
      <c r="B1101" s="4" t="s">
        <v>87</v>
      </c>
      <c r="D1101" s="3">
        <v>1</v>
      </c>
      <c r="E1101" s="2">
        <f t="shared" si="28"/>
        <v>1</v>
      </c>
      <c r="F1101" s="9">
        <v>1.4084507042253521E-2</v>
      </c>
    </row>
    <row r="1102" spans="2:6" x14ac:dyDescent="0.35">
      <c r="B1102" s="4" t="s">
        <v>303</v>
      </c>
      <c r="D1102" s="3">
        <v>1</v>
      </c>
      <c r="E1102" s="2">
        <f t="shared" si="28"/>
        <v>1</v>
      </c>
      <c r="F1102" s="9">
        <v>1.4084507042253521E-2</v>
      </c>
    </row>
    <row r="1103" spans="2:6" x14ac:dyDescent="0.35">
      <c r="B1103" s="4" t="s">
        <v>479</v>
      </c>
      <c r="D1103" s="3">
        <v>1</v>
      </c>
      <c r="E1103" s="2">
        <f t="shared" si="28"/>
        <v>1</v>
      </c>
      <c r="F1103" s="9">
        <v>1.4084507042253521E-2</v>
      </c>
    </row>
    <row r="1104" spans="2:6" x14ac:dyDescent="0.35">
      <c r="B1104" s="4" t="s">
        <v>112</v>
      </c>
      <c r="D1104" s="3">
        <v>2</v>
      </c>
      <c r="E1104" s="2">
        <f t="shared" si="28"/>
        <v>2</v>
      </c>
      <c r="F1104" s="9">
        <v>2.8169014084507043E-2</v>
      </c>
    </row>
    <row r="1105" spans="2:6" x14ac:dyDescent="0.35">
      <c r="B1105" s="4" t="s">
        <v>227</v>
      </c>
      <c r="D1105" s="3">
        <v>1</v>
      </c>
      <c r="E1105" s="2">
        <f t="shared" si="28"/>
        <v>1</v>
      </c>
      <c r="F1105" s="9">
        <v>1.4084507042253521E-2</v>
      </c>
    </row>
    <row r="1106" spans="2:6" x14ac:dyDescent="0.35">
      <c r="B1106" s="4" t="s">
        <v>480</v>
      </c>
      <c r="D1106" s="3">
        <v>1</v>
      </c>
      <c r="E1106" s="2">
        <f t="shared" si="28"/>
        <v>1</v>
      </c>
      <c r="F1106" s="9">
        <v>1.4084507042253521E-2</v>
      </c>
    </row>
    <row r="1107" spans="2:6" x14ac:dyDescent="0.35">
      <c r="B1107" s="4" t="s">
        <v>377</v>
      </c>
      <c r="D1107" s="3">
        <v>1</v>
      </c>
      <c r="E1107" s="2">
        <f t="shared" si="28"/>
        <v>1</v>
      </c>
      <c r="F1107" s="9">
        <v>1.4084507042253521E-2</v>
      </c>
    </row>
    <row r="1108" spans="2:6" x14ac:dyDescent="0.35">
      <c r="B1108" s="4" t="s">
        <v>481</v>
      </c>
      <c r="D1108" s="3">
        <v>1</v>
      </c>
      <c r="E1108" s="2">
        <f t="shared" si="28"/>
        <v>1</v>
      </c>
      <c r="F1108" s="9">
        <v>1.4084507042253521E-2</v>
      </c>
    </row>
    <row r="1109" spans="2:6" x14ac:dyDescent="0.35">
      <c r="B1109" s="4" t="s">
        <v>482</v>
      </c>
      <c r="D1109" s="3">
        <v>1</v>
      </c>
      <c r="E1109" s="2">
        <f t="shared" si="28"/>
        <v>1</v>
      </c>
      <c r="F1109" s="9">
        <v>1.4084507042253521E-2</v>
      </c>
    </row>
    <row r="1110" spans="2:6" x14ac:dyDescent="0.35">
      <c r="B1110" s="4" t="s">
        <v>483</v>
      </c>
      <c r="D1110" s="3">
        <v>2</v>
      </c>
      <c r="E1110" s="2">
        <f t="shared" si="28"/>
        <v>2</v>
      </c>
      <c r="F1110" s="9">
        <v>2.8169014084507043E-2</v>
      </c>
    </row>
    <row r="1111" spans="2:6" x14ac:dyDescent="0.35">
      <c r="B1111" s="4" t="s">
        <v>290</v>
      </c>
      <c r="D1111" s="3">
        <v>1</v>
      </c>
      <c r="E1111" s="2">
        <f t="shared" si="28"/>
        <v>1</v>
      </c>
      <c r="F1111" s="9">
        <v>1.4084507042253521E-2</v>
      </c>
    </row>
    <row r="1112" spans="2:6" x14ac:dyDescent="0.35">
      <c r="B1112" s="4" t="s">
        <v>274</v>
      </c>
      <c r="D1112" s="3">
        <v>1</v>
      </c>
      <c r="E1112" s="2">
        <f t="shared" si="28"/>
        <v>1</v>
      </c>
      <c r="F1112" s="9">
        <v>1.4084507042253521E-2</v>
      </c>
    </row>
    <row r="1113" spans="2:6" x14ac:dyDescent="0.35">
      <c r="B1113" s="4" t="s">
        <v>163</v>
      </c>
      <c r="D1113" s="3">
        <v>1</v>
      </c>
      <c r="E1113" s="2">
        <f t="shared" si="28"/>
        <v>1</v>
      </c>
      <c r="F1113" s="9">
        <v>1.4084507042253521E-2</v>
      </c>
    </row>
    <row r="1114" spans="2:6" x14ac:dyDescent="0.35">
      <c r="B1114" s="4" t="s">
        <v>96</v>
      </c>
      <c r="D1114" s="3">
        <v>1</v>
      </c>
      <c r="E1114" s="2">
        <f t="shared" si="28"/>
        <v>1</v>
      </c>
      <c r="F1114" s="9">
        <v>1.4084507042253521E-2</v>
      </c>
    </row>
    <row r="1115" spans="2:6" x14ac:dyDescent="0.35">
      <c r="B1115" s="4" t="s">
        <v>21</v>
      </c>
      <c r="D1115" s="3">
        <v>2</v>
      </c>
      <c r="E1115" s="2">
        <f t="shared" si="28"/>
        <v>2</v>
      </c>
      <c r="F1115" s="9">
        <v>2.8169014084507043E-2</v>
      </c>
    </row>
    <row r="1116" spans="2:6" x14ac:dyDescent="0.35">
      <c r="B1116" s="4" t="s">
        <v>186</v>
      </c>
      <c r="D1116" s="3">
        <v>1</v>
      </c>
      <c r="E1116" s="2">
        <f t="shared" si="28"/>
        <v>1</v>
      </c>
      <c r="F1116" s="9">
        <v>1.4084507042253521E-2</v>
      </c>
    </row>
    <row r="1117" spans="2:6" x14ac:dyDescent="0.35">
      <c r="B1117" s="4" t="s">
        <v>70</v>
      </c>
      <c r="D1117" s="3">
        <v>2</v>
      </c>
      <c r="E1117" s="2">
        <f t="shared" si="28"/>
        <v>2</v>
      </c>
      <c r="F1117" s="9">
        <v>2.8169014084507043E-2</v>
      </c>
    </row>
    <row r="1118" spans="2:6" x14ac:dyDescent="0.35">
      <c r="B1118" s="4" t="s">
        <v>65</v>
      </c>
      <c r="D1118" s="3">
        <v>1</v>
      </c>
      <c r="E1118" s="2">
        <f t="shared" si="28"/>
        <v>1</v>
      </c>
      <c r="F1118" s="9">
        <v>1.4084507042253521E-2</v>
      </c>
    </row>
    <row r="1119" spans="2:6" x14ac:dyDescent="0.35">
      <c r="B1119" s="4" t="s">
        <v>484</v>
      </c>
      <c r="D1119" s="3">
        <v>1</v>
      </c>
      <c r="E1119" s="2">
        <f t="shared" si="28"/>
        <v>1</v>
      </c>
      <c r="F1119" s="9">
        <v>1.4084507042253521E-2</v>
      </c>
    </row>
    <row r="1120" spans="2:6" x14ac:dyDescent="0.35">
      <c r="E1120" s="2">
        <f t="shared" si="28"/>
        <v>0</v>
      </c>
      <c r="F1120" s="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3"/>
  <sheetViews>
    <sheetView workbookViewId="0">
      <pane ySplit="1" topLeftCell="A2" activePane="bottomLeft" state="frozen"/>
      <selection pane="bottomLeft" activeCell="D28" sqref="D28"/>
    </sheetView>
  </sheetViews>
  <sheetFormatPr defaultRowHeight="15" x14ac:dyDescent="0.35"/>
  <cols>
    <col min="1" max="1" width="11.44140625" style="1" bestFit="1" customWidth="1"/>
    <col min="2" max="2" width="17.21875" style="1" bestFit="1" customWidth="1"/>
    <col min="3" max="3" width="17.33203125" style="1" bestFit="1" customWidth="1"/>
    <col min="4" max="4" width="33" style="1" bestFit="1" customWidth="1"/>
    <col min="5" max="5" width="10.21875" style="1" bestFit="1" customWidth="1"/>
    <col min="6" max="6" width="16.5546875" style="1" bestFit="1" customWidth="1"/>
  </cols>
  <sheetData>
    <row r="1" spans="1:6" ht="45" customHeight="1" x14ac:dyDescent="0.3">
      <c r="A1" s="18" t="s">
        <v>485</v>
      </c>
      <c r="B1" s="18" t="s">
        <v>486</v>
      </c>
      <c r="C1" s="18" t="s">
        <v>487</v>
      </c>
      <c r="D1" s="18" t="s">
        <v>488</v>
      </c>
      <c r="E1" s="18" t="s">
        <v>457</v>
      </c>
      <c r="F1" s="18" t="s">
        <v>430</v>
      </c>
    </row>
    <row r="2" spans="1:6" x14ac:dyDescent="0.35">
      <c r="A2" s="19" t="s">
        <v>461</v>
      </c>
      <c r="B2" s="20">
        <v>0.04</v>
      </c>
      <c r="C2" s="19">
        <v>0</v>
      </c>
      <c r="D2" s="19">
        <v>19</v>
      </c>
      <c r="E2" s="19">
        <f t="shared" ref="E2:E65" si="0">C2+D2</f>
        <v>19</v>
      </c>
      <c r="F2" s="21">
        <f t="shared" ref="F2:F65" si="1">E2/SUMIFS($E$2:$E$303,$A$2:$A$303,A2)</f>
        <v>5.9374999999999997E-2</v>
      </c>
    </row>
    <row r="3" spans="1:6" x14ac:dyDescent="0.35">
      <c r="A3" s="19" t="s">
        <v>461</v>
      </c>
      <c r="B3" s="20">
        <v>0.06</v>
      </c>
      <c r="C3" s="19">
        <v>0</v>
      </c>
      <c r="D3" s="19">
        <v>1</v>
      </c>
      <c r="E3" s="19">
        <f t="shared" si="0"/>
        <v>1</v>
      </c>
      <c r="F3" s="21">
        <f t="shared" si="1"/>
        <v>3.1250000000000002E-3</v>
      </c>
    </row>
    <row r="4" spans="1:6" x14ac:dyDescent="0.35">
      <c r="A4" s="19" t="s">
        <v>461</v>
      </c>
      <c r="B4" s="20">
        <v>7.0000000000000007E-2</v>
      </c>
      <c r="C4" s="19">
        <v>0</v>
      </c>
      <c r="D4" s="19">
        <v>12</v>
      </c>
      <c r="E4" s="19">
        <f t="shared" si="0"/>
        <v>12</v>
      </c>
      <c r="F4" s="21">
        <f t="shared" si="1"/>
        <v>3.7499999999999999E-2</v>
      </c>
    </row>
    <row r="5" spans="1:6" x14ac:dyDescent="0.35">
      <c r="A5" s="19" t="s">
        <v>461</v>
      </c>
      <c r="B5" s="20">
        <v>8.5000000000000006E-2</v>
      </c>
      <c r="C5" s="19">
        <v>0</v>
      </c>
      <c r="D5" s="19">
        <v>1</v>
      </c>
      <c r="E5" s="19">
        <f t="shared" si="0"/>
        <v>1</v>
      </c>
      <c r="F5" s="21">
        <f t="shared" si="1"/>
        <v>3.1250000000000002E-3</v>
      </c>
    </row>
    <row r="6" spans="1:6" x14ac:dyDescent="0.35">
      <c r="A6" s="19" t="s">
        <v>461</v>
      </c>
      <c r="B6" s="20">
        <v>0.105</v>
      </c>
      <c r="C6" s="19">
        <v>0</v>
      </c>
      <c r="D6" s="19">
        <v>1</v>
      </c>
      <c r="E6" s="19">
        <f t="shared" si="0"/>
        <v>1</v>
      </c>
      <c r="F6" s="21">
        <f t="shared" si="1"/>
        <v>3.1250000000000002E-3</v>
      </c>
    </row>
    <row r="7" spans="1:6" x14ac:dyDescent="0.35">
      <c r="A7" s="19" t="s">
        <v>461</v>
      </c>
      <c r="B7" s="20">
        <v>0.1075</v>
      </c>
      <c r="C7" s="19">
        <v>0</v>
      </c>
      <c r="D7" s="19">
        <v>1</v>
      </c>
      <c r="E7" s="19">
        <f t="shared" si="0"/>
        <v>1</v>
      </c>
      <c r="F7" s="21">
        <f t="shared" si="1"/>
        <v>3.1250000000000002E-3</v>
      </c>
    </row>
    <row r="8" spans="1:6" x14ac:dyDescent="0.35">
      <c r="A8" s="19" t="s">
        <v>461</v>
      </c>
      <c r="B8" s="20">
        <v>0.11</v>
      </c>
      <c r="C8" s="19">
        <v>0</v>
      </c>
      <c r="D8" s="19">
        <v>2</v>
      </c>
      <c r="E8" s="19">
        <f t="shared" si="0"/>
        <v>2</v>
      </c>
      <c r="F8" s="21">
        <f t="shared" si="1"/>
        <v>6.2500000000000003E-3</v>
      </c>
    </row>
    <row r="9" spans="1:6" x14ac:dyDescent="0.35">
      <c r="A9" s="19" t="s">
        <v>461</v>
      </c>
      <c r="B9" s="20">
        <v>0.11749999999999999</v>
      </c>
      <c r="C9" s="19">
        <v>0</v>
      </c>
      <c r="D9" s="19">
        <v>1</v>
      </c>
      <c r="E9" s="19">
        <f t="shared" si="0"/>
        <v>1</v>
      </c>
      <c r="F9" s="21">
        <f t="shared" si="1"/>
        <v>3.1250000000000002E-3</v>
      </c>
    </row>
    <row r="10" spans="1:6" x14ac:dyDescent="0.35">
      <c r="A10" s="19" t="s">
        <v>461</v>
      </c>
      <c r="B10" s="20">
        <v>0.127</v>
      </c>
      <c r="C10" s="19">
        <v>0</v>
      </c>
      <c r="D10" s="19">
        <v>1</v>
      </c>
      <c r="E10" s="19">
        <f t="shared" si="0"/>
        <v>1</v>
      </c>
      <c r="F10" s="21">
        <f t="shared" si="1"/>
        <v>3.1250000000000002E-3</v>
      </c>
    </row>
    <row r="11" spans="1:6" x14ac:dyDescent="0.35">
      <c r="A11" s="19" t="s">
        <v>461</v>
      </c>
      <c r="B11" s="20">
        <v>0.1293</v>
      </c>
      <c r="C11" s="19">
        <v>0</v>
      </c>
      <c r="D11" s="19">
        <v>1</v>
      </c>
      <c r="E11" s="19">
        <f t="shared" si="0"/>
        <v>1</v>
      </c>
      <c r="F11" s="21">
        <f t="shared" si="1"/>
        <v>3.1250000000000002E-3</v>
      </c>
    </row>
    <row r="12" spans="1:6" x14ac:dyDescent="0.35">
      <c r="A12" s="19" t="s">
        <v>461</v>
      </c>
      <c r="B12" s="20">
        <v>0.14180000000000001</v>
      </c>
      <c r="C12" s="19">
        <v>0</v>
      </c>
      <c r="D12" s="19">
        <v>1</v>
      </c>
      <c r="E12" s="19">
        <f t="shared" si="0"/>
        <v>1</v>
      </c>
      <c r="F12" s="21">
        <f t="shared" si="1"/>
        <v>3.1250000000000002E-3</v>
      </c>
    </row>
    <row r="13" spans="1:6" x14ac:dyDescent="0.35">
      <c r="A13" s="19" t="s">
        <v>461</v>
      </c>
      <c r="B13" s="20">
        <v>0.14430000000000001</v>
      </c>
      <c r="C13" s="19">
        <v>0</v>
      </c>
      <c r="D13" s="19">
        <v>1</v>
      </c>
      <c r="E13" s="19">
        <f t="shared" si="0"/>
        <v>1</v>
      </c>
      <c r="F13" s="21">
        <f t="shared" si="1"/>
        <v>3.1250000000000002E-3</v>
      </c>
    </row>
    <row r="14" spans="1:6" x14ac:dyDescent="0.35">
      <c r="A14" s="19" t="s">
        <v>461</v>
      </c>
      <c r="B14" s="20">
        <v>0.14710000000000001</v>
      </c>
      <c r="C14" s="19">
        <v>0</v>
      </c>
      <c r="D14" s="19">
        <v>1</v>
      </c>
      <c r="E14" s="19">
        <f t="shared" si="0"/>
        <v>1</v>
      </c>
      <c r="F14" s="21">
        <f t="shared" si="1"/>
        <v>3.1250000000000002E-3</v>
      </c>
    </row>
    <row r="15" spans="1:6" x14ac:dyDescent="0.35">
      <c r="A15" s="19" t="s">
        <v>461</v>
      </c>
      <c r="B15" s="20">
        <v>0.14749999999999999</v>
      </c>
      <c r="C15" s="19">
        <v>2</v>
      </c>
      <c r="D15" s="19">
        <v>0</v>
      </c>
      <c r="E15" s="19">
        <f t="shared" si="0"/>
        <v>2</v>
      </c>
      <c r="F15" s="21">
        <f t="shared" si="1"/>
        <v>6.2500000000000003E-3</v>
      </c>
    </row>
    <row r="16" spans="1:6" x14ac:dyDescent="0.35">
      <c r="A16" s="19" t="s">
        <v>461</v>
      </c>
      <c r="B16" s="20">
        <v>0.15</v>
      </c>
      <c r="C16" s="19">
        <v>2</v>
      </c>
      <c r="D16" s="19">
        <v>2</v>
      </c>
      <c r="E16" s="19">
        <f t="shared" si="0"/>
        <v>4</v>
      </c>
      <c r="F16" s="21">
        <f t="shared" si="1"/>
        <v>1.2500000000000001E-2</v>
      </c>
    </row>
    <row r="17" spans="1:6" x14ac:dyDescent="0.35">
      <c r="A17" s="19" t="s">
        <v>461</v>
      </c>
      <c r="B17" s="20">
        <v>0.15110000000000001</v>
      </c>
      <c r="C17" s="19">
        <v>0</v>
      </c>
      <c r="D17" s="19">
        <v>4</v>
      </c>
      <c r="E17" s="19">
        <f t="shared" si="0"/>
        <v>4</v>
      </c>
      <c r="F17" s="21">
        <f t="shared" si="1"/>
        <v>1.2500000000000001E-2</v>
      </c>
    </row>
    <row r="18" spans="1:6" x14ac:dyDescent="0.35">
      <c r="A18" s="19" t="s">
        <v>461</v>
      </c>
      <c r="B18" s="20">
        <v>0.1515</v>
      </c>
      <c r="C18" s="19">
        <v>0</v>
      </c>
      <c r="D18" s="19">
        <v>1</v>
      </c>
      <c r="E18" s="19">
        <f t="shared" si="0"/>
        <v>1</v>
      </c>
      <c r="F18" s="21">
        <f t="shared" si="1"/>
        <v>3.1250000000000002E-3</v>
      </c>
    </row>
    <row r="19" spans="1:6" x14ac:dyDescent="0.35">
      <c r="A19" s="19" t="s">
        <v>461</v>
      </c>
      <c r="B19" s="20">
        <v>0.1525</v>
      </c>
      <c r="C19" s="19">
        <v>2</v>
      </c>
      <c r="D19" s="19">
        <v>0</v>
      </c>
      <c r="E19" s="19">
        <f t="shared" si="0"/>
        <v>2</v>
      </c>
      <c r="F19" s="21">
        <f t="shared" si="1"/>
        <v>6.2500000000000003E-3</v>
      </c>
    </row>
    <row r="20" spans="1:6" x14ac:dyDescent="0.35">
      <c r="A20" s="19" t="s">
        <v>461</v>
      </c>
      <c r="B20" s="20">
        <v>0.15490000000000001</v>
      </c>
      <c r="C20" s="19">
        <v>1</v>
      </c>
      <c r="D20" s="19">
        <v>0</v>
      </c>
      <c r="E20" s="19">
        <f t="shared" si="0"/>
        <v>1</v>
      </c>
      <c r="F20" s="21">
        <f t="shared" si="1"/>
        <v>3.1250000000000002E-3</v>
      </c>
    </row>
    <row r="21" spans="1:6" x14ac:dyDescent="0.35">
      <c r="A21" s="19" t="s">
        <v>461</v>
      </c>
      <c r="B21" s="20">
        <v>0.155</v>
      </c>
      <c r="C21" s="19">
        <v>2</v>
      </c>
      <c r="D21" s="19">
        <v>0</v>
      </c>
      <c r="E21" s="19">
        <f t="shared" si="0"/>
        <v>2</v>
      </c>
      <c r="F21" s="21">
        <f t="shared" si="1"/>
        <v>6.2500000000000003E-3</v>
      </c>
    </row>
    <row r="22" spans="1:6" x14ac:dyDescent="0.35">
      <c r="A22" s="19" t="s">
        <v>461</v>
      </c>
      <c r="B22" s="20">
        <v>0.1575</v>
      </c>
      <c r="C22" s="19">
        <v>10</v>
      </c>
      <c r="D22" s="19">
        <v>0</v>
      </c>
      <c r="E22" s="19">
        <f t="shared" si="0"/>
        <v>10</v>
      </c>
      <c r="F22" s="21">
        <f t="shared" si="1"/>
        <v>3.125E-2</v>
      </c>
    </row>
    <row r="23" spans="1:6" x14ac:dyDescent="0.35">
      <c r="A23" s="19" t="s">
        <v>461</v>
      </c>
      <c r="B23" s="20">
        <v>0.15989999999999999</v>
      </c>
      <c r="C23" s="19">
        <v>80</v>
      </c>
      <c r="D23" s="19">
        <v>0</v>
      </c>
      <c r="E23" s="19">
        <f t="shared" si="0"/>
        <v>80</v>
      </c>
      <c r="F23" s="21">
        <f t="shared" si="1"/>
        <v>0.25</v>
      </c>
    </row>
    <row r="24" spans="1:6" x14ac:dyDescent="0.35">
      <c r="A24" s="19" t="s">
        <v>461</v>
      </c>
      <c r="B24" s="20">
        <v>0.16</v>
      </c>
      <c r="C24" s="19">
        <v>0</v>
      </c>
      <c r="D24" s="19">
        <v>1</v>
      </c>
      <c r="E24" s="19">
        <f t="shared" si="0"/>
        <v>1</v>
      </c>
      <c r="F24" s="21">
        <f t="shared" si="1"/>
        <v>3.1250000000000002E-3</v>
      </c>
    </row>
    <row r="25" spans="1:6" x14ac:dyDescent="0.35">
      <c r="A25" s="19" t="s">
        <v>461</v>
      </c>
      <c r="B25" s="20">
        <v>0.16250000000000001</v>
      </c>
      <c r="C25" s="19">
        <v>7</v>
      </c>
      <c r="D25" s="19">
        <v>1</v>
      </c>
      <c r="E25" s="19">
        <f t="shared" si="0"/>
        <v>8</v>
      </c>
      <c r="F25" s="21">
        <f t="shared" si="1"/>
        <v>2.5000000000000001E-2</v>
      </c>
    </row>
    <row r="26" spans="1:6" x14ac:dyDescent="0.35">
      <c r="A26" s="19" t="s">
        <v>461</v>
      </c>
      <c r="B26" s="20">
        <v>0.16489999999999999</v>
      </c>
      <c r="C26" s="19">
        <v>1</v>
      </c>
      <c r="D26" s="19">
        <v>0</v>
      </c>
      <c r="E26" s="19">
        <f t="shared" si="0"/>
        <v>1</v>
      </c>
      <c r="F26" s="21">
        <f t="shared" si="1"/>
        <v>3.1250000000000002E-3</v>
      </c>
    </row>
    <row r="27" spans="1:6" x14ac:dyDescent="0.35">
      <c r="A27" s="19" t="s">
        <v>461</v>
      </c>
      <c r="B27" s="20">
        <v>0.16500000000000001</v>
      </c>
      <c r="C27" s="19">
        <v>0</v>
      </c>
      <c r="D27" s="19">
        <v>8</v>
      </c>
      <c r="E27" s="19">
        <f t="shared" si="0"/>
        <v>8</v>
      </c>
      <c r="F27" s="21">
        <f t="shared" si="1"/>
        <v>2.5000000000000001E-2</v>
      </c>
    </row>
    <row r="28" spans="1:6" x14ac:dyDescent="0.35">
      <c r="A28" s="19" t="s">
        <v>461</v>
      </c>
      <c r="B28" s="20">
        <v>0.16750000000000001</v>
      </c>
      <c r="C28" s="19">
        <v>63</v>
      </c>
      <c r="D28" s="19">
        <v>2</v>
      </c>
      <c r="E28" s="19">
        <f t="shared" si="0"/>
        <v>65</v>
      </c>
      <c r="F28" s="21">
        <f t="shared" si="1"/>
        <v>0.203125</v>
      </c>
    </row>
    <row r="29" spans="1:6" x14ac:dyDescent="0.35">
      <c r="A29" s="19" t="s">
        <v>461</v>
      </c>
      <c r="B29" s="20">
        <v>0.16800000000000001</v>
      </c>
      <c r="C29" s="19">
        <v>0</v>
      </c>
      <c r="D29" s="19">
        <v>2</v>
      </c>
      <c r="E29" s="19">
        <f t="shared" si="0"/>
        <v>2</v>
      </c>
      <c r="F29" s="21">
        <f t="shared" si="1"/>
        <v>6.2500000000000003E-3</v>
      </c>
    </row>
    <row r="30" spans="1:6" x14ac:dyDescent="0.35">
      <c r="A30" s="19" t="s">
        <v>461</v>
      </c>
      <c r="B30" s="20">
        <v>0.1699</v>
      </c>
      <c r="C30" s="19">
        <v>58</v>
      </c>
      <c r="D30" s="19">
        <v>0</v>
      </c>
      <c r="E30" s="19">
        <f t="shared" si="0"/>
        <v>58</v>
      </c>
      <c r="F30" s="21">
        <f t="shared" si="1"/>
        <v>0.18124999999999999</v>
      </c>
    </row>
    <row r="31" spans="1:6" x14ac:dyDescent="0.35">
      <c r="A31" s="19" t="s">
        <v>461</v>
      </c>
      <c r="B31" s="20">
        <v>0.17</v>
      </c>
      <c r="C31" s="19">
        <v>0</v>
      </c>
      <c r="D31" s="19">
        <v>3</v>
      </c>
      <c r="E31" s="19">
        <f t="shared" si="0"/>
        <v>3</v>
      </c>
      <c r="F31" s="21">
        <f t="shared" si="1"/>
        <v>9.3749999999999997E-3</v>
      </c>
    </row>
    <row r="32" spans="1:6" x14ac:dyDescent="0.35">
      <c r="A32" s="19" t="s">
        <v>461</v>
      </c>
      <c r="B32" s="20">
        <v>0.17249999999999999</v>
      </c>
      <c r="C32" s="19">
        <v>0</v>
      </c>
      <c r="D32" s="19">
        <v>11</v>
      </c>
      <c r="E32" s="19">
        <f t="shared" si="0"/>
        <v>11</v>
      </c>
      <c r="F32" s="21">
        <f t="shared" si="1"/>
        <v>3.4375000000000003E-2</v>
      </c>
    </row>
    <row r="33" spans="1:6" x14ac:dyDescent="0.35">
      <c r="A33" s="19" t="s">
        <v>461</v>
      </c>
      <c r="B33" s="20">
        <v>0.17499999999999999</v>
      </c>
      <c r="C33" s="19">
        <v>0</v>
      </c>
      <c r="D33" s="19">
        <v>13</v>
      </c>
      <c r="E33" s="19">
        <f t="shared" si="0"/>
        <v>13</v>
      </c>
      <c r="F33" s="21">
        <f t="shared" si="1"/>
        <v>4.0625000000000001E-2</v>
      </c>
    </row>
    <row r="34" spans="1:6" ht="15.6" thickBot="1" x14ac:dyDescent="0.4">
      <c r="A34" s="19" t="s">
        <v>461</v>
      </c>
      <c r="B34" s="20">
        <v>0.17749999999999999</v>
      </c>
      <c r="C34" s="19">
        <v>0</v>
      </c>
      <c r="D34" s="19">
        <v>1</v>
      </c>
      <c r="E34" s="19">
        <f t="shared" si="0"/>
        <v>1</v>
      </c>
      <c r="F34" s="21">
        <f t="shared" si="1"/>
        <v>3.1250000000000002E-3</v>
      </c>
    </row>
    <row r="35" spans="1:6" x14ac:dyDescent="0.35">
      <c r="A35" s="22" t="s">
        <v>463</v>
      </c>
      <c r="B35" s="23">
        <v>0.04</v>
      </c>
      <c r="C35" s="22">
        <v>0</v>
      </c>
      <c r="D35" s="22">
        <v>12</v>
      </c>
      <c r="E35" s="22">
        <f t="shared" si="0"/>
        <v>12</v>
      </c>
      <c r="F35" s="24">
        <f t="shared" si="1"/>
        <v>5.0847457627118647E-2</v>
      </c>
    </row>
    <row r="36" spans="1:6" x14ac:dyDescent="0.35">
      <c r="A36" s="19" t="s">
        <v>463</v>
      </c>
      <c r="B36" s="20">
        <v>0.06</v>
      </c>
      <c r="C36" s="19">
        <v>0</v>
      </c>
      <c r="D36" s="19">
        <v>1</v>
      </c>
      <c r="E36" s="19">
        <f t="shared" si="0"/>
        <v>1</v>
      </c>
      <c r="F36" s="21">
        <f t="shared" si="1"/>
        <v>4.2372881355932203E-3</v>
      </c>
    </row>
    <row r="37" spans="1:6" x14ac:dyDescent="0.35">
      <c r="A37" s="19" t="s">
        <v>463</v>
      </c>
      <c r="B37" s="20">
        <v>7.0000000000000007E-2</v>
      </c>
      <c r="C37" s="19">
        <v>0</v>
      </c>
      <c r="D37" s="19">
        <v>7</v>
      </c>
      <c r="E37" s="19">
        <f t="shared" si="0"/>
        <v>7</v>
      </c>
      <c r="F37" s="21">
        <f t="shared" si="1"/>
        <v>2.9661016949152543E-2</v>
      </c>
    </row>
    <row r="38" spans="1:6" x14ac:dyDescent="0.35">
      <c r="A38" s="19" t="s">
        <v>463</v>
      </c>
      <c r="B38" s="20">
        <v>0.109</v>
      </c>
      <c r="C38" s="19">
        <v>0</v>
      </c>
      <c r="D38" s="19">
        <v>1</v>
      </c>
      <c r="E38" s="19">
        <f t="shared" si="0"/>
        <v>1</v>
      </c>
      <c r="F38" s="21">
        <f t="shared" si="1"/>
        <v>4.2372881355932203E-3</v>
      </c>
    </row>
    <row r="39" spans="1:6" x14ac:dyDescent="0.35">
      <c r="A39" s="19" t="s">
        <v>463</v>
      </c>
      <c r="B39" s="20">
        <v>0.1125</v>
      </c>
      <c r="C39" s="19">
        <v>0</v>
      </c>
      <c r="D39" s="19">
        <v>1</v>
      </c>
      <c r="E39" s="19">
        <f t="shared" si="0"/>
        <v>1</v>
      </c>
      <c r="F39" s="21">
        <f t="shared" si="1"/>
        <v>4.2372881355932203E-3</v>
      </c>
    </row>
    <row r="40" spans="1:6" x14ac:dyDescent="0.35">
      <c r="A40" s="19" t="s">
        <v>463</v>
      </c>
      <c r="B40" s="20">
        <v>0.1293</v>
      </c>
      <c r="C40" s="19">
        <v>0</v>
      </c>
      <c r="D40" s="19">
        <v>1</v>
      </c>
      <c r="E40" s="19">
        <f t="shared" si="0"/>
        <v>1</v>
      </c>
      <c r="F40" s="21">
        <f t="shared" si="1"/>
        <v>4.2372881355932203E-3</v>
      </c>
    </row>
    <row r="41" spans="1:6" x14ac:dyDescent="0.35">
      <c r="A41" s="19" t="s">
        <v>463</v>
      </c>
      <c r="B41" s="20">
        <v>0.13489999999999999</v>
      </c>
      <c r="C41" s="19">
        <v>0</v>
      </c>
      <c r="D41" s="19">
        <v>1</v>
      </c>
      <c r="E41" s="19">
        <f t="shared" si="0"/>
        <v>1</v>
      </c>
      <c r="F41" s="21">
        <f t="shared" si="1"/>
        <v>4.2372881355932203E-3</v>
      </c>
    </row>
    <row r="42" spans="1:6" x14ac:dyDescent="0.35">
      <c r="A42" s="19" t="s">
        <v>463</v>
      </c>
      <c r="B42" s="20">
        <v>0.1389</v>
      </c>
      <c r="C42" s="19">
        <v>0</v>
      </c>
      <c r="D42" s="19">
        <v>2</v>
      </c>
      <c r="E42" s="19">
        <f t="shared" si="0"/>
        <v>2</v>
      </c>
      <c r="F42" s="21">
        <f t="shared" si="1"/>
        <v>8.4745762711864406E-3</v>
      </c>
    </row>
    <row r="43" spans="1:6" x14ac:dyDescent="0.35">
      <c r="A43" s="19" t="s">
        <v>463</v>
      </c>
      <c r="B43" s="20">
        <v>0.14180000000000001</v>
      </c>
      <c r="C43" s="19">
        <v>0</v>
      </c>
      <c r="D43" s="19">
        <v>2</v>
      </c>
      <c r="E43" s="19">
        <f t="shared" si="0"/>
        <v>2</v>
      </c>
      <c r="F43" s="21">
        <f t="shared" si="1"/>
        <v>8.4745762711864406E-3</v>
      </c>
    </row>
    <row r="44" spans="1:6" x14ac:dyDescent="0.35">
      <c r="A44" s="19" t="s">
        <v>463</v>
      </c>
      <c r="B44" s="20">
        <v>0.14430000000000001</v>
      </c>
      <c r="C44" s="19">
        <v>0</v>
      </c>
      <c r="D44" s="19">
        <v>2</v>
      </c>
      <c r="E44" s="19">
        <f t="shared" si="0"/>
        <v>2</v>
      </c>
      <c r="F44" s="21">
        <f t="shared" si="1"/>
        <v>8.4745762711864406E-3</v>
      </c>
    </row>
    <row r="45" spans="1:6" x14ac:dyDescent="0.35">
      <c r="A45" s="19" t="s">
        <v>463</v>
      </c>
      <c r="B45" s="20">
        <v>0.1449</v>
      </c>
      <c r="C45" s="19">
        <v>1</v>
      </c>
      <c r="D45" s="19">
        <v>0</v>
      </c>
      <c r="E45" s="19">
        <f t="shared" si="0"/>
        <v>1</v>
      </c>
      <c r="F45" s="21">
        <f t="shared" si="1"/>
        <v>4.2372881355932203E-3</v>
      </c>
    </row>
    <row r="46" spans="1:6" x14ac:dyDescent="0.35">
      <c r="A46" s="19" t="s">
        <v>463</v>
      </c>
      <c r="B46" s="20">
        <v>0.14749999999999999</v>
      </c>
      <c r="C46" s="19">
        <v>2</v>
      </c>
      <c r="D46" s="19">
        <v>0</v>
      </c>
      <c r="E46" s="19">
        <f t="shared" si="0"/>
        <v>2</v>
      </c>
      <c r="F46" s="21">
        <f t="shared" si="1"/>
        <v>8.4745762711864406E-3</v>
      </c>
    </row>
    <row r="47" spans="1:6" x14ac:dyDescent="0.35">
      <c r="A47" s="19" t="s">
        <v>463</v>
      </c>
      <c r="B47" s="20">
        <v>0.14860000000000001</v>
      </c>
      <c r="C47" s="19">
        <v>0</v>
      </c>
      <c r="D47" s="19">
        <v>1</v>
      </c>
      <c r="E47" s="19">
        <f t="shared" si="0"/>
        <v>1</v>
      </c>
      <c r="F47" s="21">
        <f t="shared" si="1"/>
        <v>4.2372881355932203E-3</v>
      </c>
    </row>
    <row r="48" spans="1:6" x14ac:dyDescent="0.35">
      <c r="A48" s="19" t="s">
        <v>463</v>
      </c>
      <c r="B48" s="20">
        <v>0.15</v>
      </c>
      <c r="C48" s="19">
        <v>1</v>
      </c>
      <c r="D48" s="19">
        <v>0</v>
      </c>
      <c r="E48" s="19">
        <f t="shared" si="0"/>
        <v>1</v>
      </c>
      <c r="F48" s="21">
        <f t="shared" si="1"/>
        <v>4.2372881355932203E-3</v>
      </c>
    </row>
    <row r="49" spans="1:6" x14ac:dyDescent="0.35">
      <c r="A49" s="19" t="s">
        <v>463</v>
      </c>
      <c r="B49" s="20">
        <v>0.15110000000000001</v>
      </c>
      <c r="C49" s="19">
        <v>0</v>
      </c>
      <c r="D49" s="19">
        <v>2</v>
      </c>
      <c r="E49" s="19">
        <f t="shared" si="0"/>
        <v>2</v>
      </c>
      <c r="F49" s="21">
        <f t="shared" si="1"/>
        <v>8.4745762711864406E-3</v>
      </c>
    </row>
    <row r="50" spans="1:6" x14ac:dyDescent="0.35">
      <c r="A50" s="19" t="s">
        <v>463</v>
      </c>
      <c r="B50" s="20">
        <v>0.15240000000000001</v>
      </c>
      <c r="C50" s="19">
        <v>1</v>
      </c>
      <c r="D50" s="19">
        <v>0</v>
      </c>
      <c r="E50" s="19">
        <f t="shared" si="0"/>
        <v>1</v>
      </c>
      <c r="F50" s="21">
        <f t="shared" si="1"/>
        <v>4.2372881355932203E-3</v>
      </c>
    </row>
    <row r="51" spans="1:6" x14ac:dyDescent="0.35">
      <c r="A51" s="19" t="s">
        <v>463</v>
      </c>
      <c r="B51" s="20">
        <v>0.1525</v>
      </c>
      <c r="C51" s="19">
        <v>1</v>
      </c>
      <c r="D51" s="19">
        <v>0</v>
      </c>
      <c r="E51" s="19">
        <f t="shared" si="0"/>
        <v>1</v>
      </c>
      <c r="F51" s="21">
        <f t="shared" si="1"/>
        <v>4.2372881355932203E-3</v>
      </c>
    </row>
    <row r="52" spans="1:6" x14ac:dyDescent="0.35">
      <c r="A52" s="19" t="s">
        <v>463</v>
      </c>
      <c r="B52" s="20">
        <v>0.15490000000000001</v>
      </c>
      <c r="C52" s="19">
        <v>1</v>
      </c>
      <c r="D52" s="19">
        <v>0</v>
      </c>
      <c r="E52" s="19">
        <f t="shared" si="0"/>
        <v>1</v>
      </c>
      <c r="F52" s="21">
        <f t="shared" si="1"/>
        <v>4.2372881355932203E-3</v>
      </c>
    </row>
    <row r="53" spans="1:6" x14ac:dyDescent="0.35">
      <c r="A53" s="19" t="s">
        <v>463</v>
      </c>
      <c r="B53" s="20">
        <v>0.1575</v>
      </c>
      <c r="C53" s="19">
        <v>5</v>
      </c>
      <c r="D53" s="19">
        <v>0</v>
      </c>
      <c r="E53" s="19">
        <f t="shared" si="0"/>
        <v>5</v>
      </c>
      <c r="F53" s="21">
        <f t="shared" si="1"/>
        <v>2.1186440677966101E-2</v>
      </c>
    </row>
    <row r="54" spans="1:6" x14ac:dyDescent="0.35">
      <c r="A54" s="19" t="s">
        <v>463</v>
      </c>
      <c r="B54" s="20">
        <v>0.15989999999999999</v>
      </c>
      <c r="C54" s="19">
        <v>46</v>
      </c>
      <c r="D54" s="19">
        <v>1</v>
      </c>
      <c r="E54" s="19">
        <f t="shared" si="0"/>
        <v>47</v>
      </c>
      <c r="F54" s="21">
        <f t="shared" si="1"/>
        <v>0.19915254237288135</v>
      </c>
    </row>
    <row r="55" spans="1:6" x14ac:dyDescent="0.35">
      <c r="A55" s="19" t="s">
        <v>463</v>
      </c>
      <c r="B55" s="20">
        <v>0.16250000000000001</v>
      </c>
      <c r="C55" s="19">
        <v>4</v>
      </c>
      <c r="D55" s="19">
        <v>0</v>
      </c>
      <c r="E55" s="19">
        <f t="shared" si="0"/>
        <v>4</v>
      </c>
      <c r="F55" s="21">
        <f t="shared" si="1"/>
        <v>1.6949152542372881E-2</v>
      </c>
    </row>
    <row r="56" spans="1:6" x14ac:dyDescent="0.35">
      <c r="A56" s="19" t="s">
        <v>463</v>
      </c>
      <c r="B56" s="20">
        <v>0.16350000000000001</v>
      </c>
      <c r="C56" s="19">
        <v>0</v>
      </c>
      <c r="D56" s="19">
        <v>1</v>
      </c>
      <c r="E56" s="19">
        <f t="shared" si="0"/>
        <v>1</v>
      </c>
      <c r="F56" s="21">
        <f t="shared" si="1"/>
        <v>4.2372881355932203E-3</v>
      </c>
    </row>
    <row r="57" spans="1:6" x14ac:dyDescent="0.35">
      <c r="A57" s="19" t="s">
        <v>463</v>
      </c>
      <c r="B57" s="20">
        <v>0.16500000000000001</v>
      </c>
      <c r="C57" s="19">
        <v>1</v>
      </c>
      <c r="D57" s="19">
        <v>7</v>
      </c>
      <c r="E57" s="19">
        <f t="shared" si="0"/>
        <v>8</v>
      </c>
      <c r="F57" s="21">
        <f t="shared" si="1"/>
        <v>3.3898305084745763E-2</v>
      </c>
    </row>
    <row r="58" spans="1:6" x14ac:dyDescent="0.35">
      <c r="A58" s="19" t="s">
        <v>463</v>
      </c>
      <c r="B58" s="20">
        <v>0.16750000000000001</v>
      </c>
      <c r="C58" s="19">
        <v>60</v>
      </c>
      <c r="D58" s="19">
        <v>1</v>
      </c>
      <c r="E58" s="19">
        <f t="shared" si="0"/>
        <v>61</v>
      </c>
      <c r="F58" s="21">
        <f t="shared" si="1"/>
        <v>0.25847457627118642</v>
      </c>
    </row>
    <row r="59" spans="1:6" x14ac:dyDescent="0.35">
      <c r="A59" s="19" t="s">
        <v>463</v>
      </c>
      <c r="B59" s="20">
        <v>0.1699</v>
      </c>
      <c r="C59" s="19">
        <v>41</v>
      </c>
      <c r="D59" s="19">
        <v>0</v>
      </c>
      <c r="E59" s="19">
        <f t="shared" si="0"/>
        <v>41</v>
      </c>
      <c r="F59" s="21">
        <f t="shared" si="1"/>
        <v>0.17372881355932204</v>
      </c>
    </row>
    <row r="60" spans="1:6" x14ac:dyDescent="0.35">
      <c r="A60" s="19" t="s">
        <v>463</v>
      </c>
      <c r="B60" s="20">
        <v>0.17</v>
      </c>
      <c r="C60" s="19">
        <v>0</v>
      </c>
      <c r="D60" s="19">
        <v>2</v>
      </c>
      <c r="E60" s="19">
        <f t="shared" si="0"/>
        <v>2</v>
      </c>
      <c r="F60" s="21">
        <f t="shared" si="1"/>
        <v>8.4745762711864406E-3</v>
      </c>
    </row>
    <row r="61" spans="1:6" x14ac:dyDescent="0.35">
      <c r="A61" s="19" t="s">
        <v>463</v>
      </c>
      <c r="B61" s="20">
        <v>0.17249999999999999</v>
      </c>
      <c r="C61" s="19">
        <v>0</v>
      </c>
      <c r="D61" s="19">
        <v>8</v>
      </c>
      <c r="E61" s="19">
        <f t="shared" si="0"/>
        <v>8</v>
      </c>
      <c r="F61" s="21">
        <f t="shared" si="1"/>
        <v>3.3898305084745763E-2</v>
      </c>
    </row>
    <row r="62" spans="1:6" x14ac:dyDescent="0.35">
      <c r="A62" s="19" t="s">
        <v>463</v>
      </c>
      <c r="B62" s="20">
        <v>0.17299999999999999</v>
      </c>
      <c r="C62" s="19">
        <v>0</v>
      </c>
      <c r="D62" s="19">
        <v>2</v>
      </c>
      <c r="E62" s="19">
        <f t="shared" si="0"/>
        <v>2</v>
      </c>
      <c r="F62" s="21">
        <f t="shared" si="1"/>
        <v>8.4745762711864406E-3</v>
      </c>
    </row>
    <row r="63" spans="1:6" x14ac:dyDescent="0.35">
      <c r="A63" s="19" t="s">
        <v>463</v>
      </c>
      <c r="B63" s="20">
        <v>0.17499999999999999</v>
      </c>
      <c r="C63" s="19">
        <v>0</v>
      </c>
      <c r="D63" s="19">
        <v>14</v>
      </c>
      <c r="E63" s="19">
        <f t="shared" si="0"/>
        <v>14</v>
      </c>
      <c r="F63" s="21">
        <f t="shared" si="1"/>
        <v>5.9322033898305086E-2</v>
      </c>
    </row>
    <row r="64" spans="1:6" ht="15.6" thickBot="1" x14ac:dyDescent="0.4">
      <c r="A64" s="19" t="s">
        <v>463</v>
      </c>
      <c r="B64" s="20">
        <v>0.17749999999999999</v>
      </c>
      <c r="C64" s="19">
        <v>0</v>
      </c>
      <c r="D64" s="19">
        <v>3</v>
      </c>
      <c r="E64" s="19">
        <f t="shared" si="0"/>
        <v>3</v>
      </c>
      <c r="F64" s="21">
        <f t="shared" si="1"/>
        <v>1.2711864406779662E-2</v>
      </c>
    </row>
    <row r="65" spans="1:6" x14ac:dyDescent="0.35">
      <c r="A65" s="22" t="s">
        <v>464</v>
      </c>
      <c r="B65" s="23">
        <v>0.04</v>
      </c>
      <c r="C65" s="22">
        <v>0</v>
      </c>
      <c r="D65" s="22">
        <v>12</v>
      </c>
      <c r="E65" s="22">
        <f t="shared" si="0"/>
        <v>12</v>
      </c>
      <c r="F65" s="24">
        <f t="shared" si="1"/>
        <v>4.2253521126760563E-2</v>
      </c>
    </row>
    <row r="66" spans="1:6" x14ac:dyDescent="0.35">
      <c r="A66" s="19" t="s">
        <v>464</v>
      </c>
      <c r="B66" s="20">
        <v>7.0000000000000007E-2</v>
      </c>
      <c r="C66" s="19">
        <v>0</v>
      </c>
      <c r="D66" s="19">
        <v>11</v>
      </c>
      <c r="E66" s="19">
        <f t="shared" ref="E66:E129" si="2">C66+D66</f>
        <v>11</v>
      </c>
      <c r="F66" s="21">
        <f t="shared" ref="F66:F129" si="3">E66/SUMIFS($E$2:$E$303,$A$2:$A$303,A66)</f>
        <v>3.873239436619718E-2</v>
      </c>
    </row>
    <row r="67" spans="1:6" x14ac:dyDescent="0.35">
      <c r="A67" s="19" t="s">
        <v>464</v>
      </c>
      <c r="B67" s="20">
        <v>0.08</v>
      </c>
      <c r="C67" s="19">
        <v>0</v>
      </c>
      <c r="D67" s="19">
        <v>1</v>
      </c>
      <c r="E67" s="19">
        <f t="shared" si="2"/>
        <v>1</v>
      </c>
      <c r="F67" s="21">
        <f t="shared" si="3"/>
        <v>3.5211267605633804E-3</v>
      </c>
    </row>
    <row r="68" spans="1:6" x14ac:dyDescent="0.35">
      <c r="A68" s="19" t="s">
        <v>464</v>
      </c>
      <c r="B68" s="20">
        <v>8.5000000000000006E-2</v>
      </c>
      <c r="C68" s="19">
        <v>0</v>
      </c>
      <c r="D68" s="19">
        <v>1</v>
      </c>
      <c r="E68" s="19">
        <f t="shared" si="2"/>
        <v>1</v>
      </c>
      <c r="F68" s="21">
        <f t="shared" si="3"/>
        <v>3.5211267605633804E-3</v>
      </c>
    </row>
    <row r="69" spans="1:6" x14ac:dyDescent="0.35">
      <c r="A69" s="19" t="s">
        <v>464</v>
      </c>
      <c r="B69" s="20">
        <v>9.5000000000000001E-2</v>
      </c>
      <c r="C69" s="19">
        <v>0</v>
      </c>
      <c r="D69" s="19">
        <v>1</v>
      </c>
      <c r="E69" s="19">
        <f t="shared" si="2"/>
        <v>1</v>
      </c>
      <c r="F69" s="21">
        <f t="shared" si="3"/>
        <v>3.5211267605633804E-3</v>
      </c>
    </row>
    <row r="70" spans="1:6" x14ac:dyDescent="0.35">
      <c r="A70" s="19" t="s">
        <v>464</v>
      </c>
      <c r="B70" s="20">
        <v>0.1011</v>
      </c>
      <c r="C70" s="19">
        <v>0</v>
      </c>
      <c r="D70" s="19">
        <v>1</v>
      </c>
      <c r="E70" s="19">
        <f t="shared" si="2"/>
        <v>1</v>
      </c>
      <c r="F70" s="21">
        <f t="shared" si="3"/>
        <v>3.5211267605633804E-3</v>
      </c>
    </row>
    <row r="71" spans="1:6" x14ac:dyDescent="0.35">
      <c r="A71" s="19" t="s">
        <v>464</v>
      </c>
      <c r="B71" s="20">
        <v>0.109</v>
      </c>
      <c r="C71" s="19">
        <v>0</v>
      </c>
      <c r="D71" s="19">
        <v>1</v>
      </c>
      <c r="E71" s="19">
        <f t="shared" si="2"/>
        <v>1</v>
      </c>
      <c r="F71" s="21">
        <f t="shared" si="3"/>
        <v>3.5211267605633804E-3</v>
      </c>
    </row>
    <row r="72" spans="1:6" x14ac:dyDescent="0.35">
      <c r="A72" s="19" t="s">
        <v>464</v>
      </c>
      <c r="B72" s="20">
        <v>0.11</v>
      </c>
      <c r="C72" s="19">
        <v>0</v>
      </c>
      <c r="D72" s="19">
        <v>2</v>
      </c>
      <c r="E72" s="19">
        <f t="shared" si="2"/>
        <v>2</v>
      </c>
      <c r="F72" s="21">
        <f t="shared" si="3"/>
        <v>7.0422535211267607E-3</v>
      </c>
    </row>
    <row r="73" spans="1:6" x14ac:dyDescent="0.35">
      <c r="A73" s="19" t="s">
        <v>464</v>
      </c>
      <c r="B73" s="20">
        <v>0.127</v>
      </c>
      <c r="C73" s="19">
        <v>0</v>
      </c>
      <c r="D73" s="19">
        <v>1</v>
      </c>
      <c r="E73" s="19">
        <f t="shared" si="2"/>
        <v>1</v>
      </c>
      <c r="F73" s="21">
        <f t="shared" si="3"/>
        <v>3.5211267605633804E-3</v>
      </c>
    </row>
    <row r="74" spans="1:6" x14ac:dyDescent="0.35">
      <c r="A74" s="19" t="s">
        <v>464</v>
      </c>
      <c r="B74" s="20">
        <v>0.1389</v>
      </c>
      <c r="C74" s="19">
        <v>0</v>
      </c>
      <c r="D74" s="19">
        <v>1</v>
      </c>
      <c r="E74" s="19">
        <f t="shared" si="2"/>
        <v>1</v>
      </c>
      <c r="F74" s="21">
        <f t="shared" si="3"/>
        <v>3.5211267605633804E-3</v>
      </c>
    </row>
    <row r="75" spans="1:6" x14ac:dyDescent="0.35">
      <c r="A75" s="19" t="s">
        <v>464</v>
      </c>
      <c r="B75" s="20">
        <v>0.14180000000000001</v>
      </c>
      <c r="C75" s="19">
        <v>0</v>
      </c>
      <c r="D75" s="19">
        <v>1</v>
      </c>
      <c r="E75" s="19">
        <f t="shared" si="2"/>
        <v>1</v>
      </c>
      <c r="F75" s="21">
        <f t="shared" si="3"/>
        <v>3.5211267605633804E-3</v>
      </c>
    </row>
    <row r="76" spans="1:6" x14ac:dyDescent="0.35">
      <c r="A76" s="19" t="s">
        <v>464</v>
      </c>
      <c r="B76" s="20">
        <v>0.14610000000000001</v>
      </c>
      <c r="C76" s="19">
        <v>0</v>
      </c>
      <c r="D76" s="19">
        <v>1</v>
      </c>
      <c r="E76" s="19">
        <f t="shared" si="2"/>
        <v>1</v>
      </c>
      <c r="F76" s="21">
        <f t="shared" si="3"/>
        <v>3.5211267605633804E-3</v>
      </c>
    </row>
    <row r="77" spans="1:6" x14ac:dyDescent="0.35">
      <c r="A77" s="19" t="s">
        <v>464</v>
      </c>
      <c r="B77" s="20">
        <v>0.14749999999999999</v>
      </c>
      <c r="C77" s="19">
        <v>1</v>
      </c>
      <c r="D77" s="19">
        <v>0</v>
      </c>
      <c r="E77" s="19">
        <f t="shared" si="2"/>
        <v>1</v>
      </c>
      <c r="F77" s="21">
        <f t="shared" si="3"/>
        <v>3.5211267605633804E-3</v>
      </c>
    </row>
    <row r="78" spans="1:6" x14ac:dyDescent="0.35">
      <c r="A78" s="19" t="s">
        <v>464</v>
      </c>
      <c r="B78" s="20">
        <v>0.15</v>
      </c>
      <c r="C78" s="19">
        <v>3</v>
      </c>
      <c r="D78" s="19">
        <v>0</v>
      </c>
      <c r="E78" s="19">
        <f t="shared" si="2"/>
        <v>3</v>
      </c>
      <c r="F78" s="21">
        <f t="shared" si="3"/>
        <v>1.0563380281690141E-2</v>
      </c>
    </row>
    <row r="79" spans="1:6" x14ac:dyDescent="0.35">
      <c r="A79" s="19" t="s">
        <v>464</v>
      </c>
      <c r="B79" s="20">
        <v>0.15110000000000001</v>
      </c>
      <c r="C79" s="19">
        <v>0</v>
      </c>
      <c r="D79" s="19">
        <v>2</v>
      </c>
      <c r="E79" s="19">
        <f t="shared" si="2"/>
        <v>2</v>
      </c>
      <c r="F79" s="21">
        <f t="shared" si="3"/>
        <v>7.0422535211267607E-3</v>
      </c>
    </row>
    <row r="80" spans="1:6" x14ac:dyDescent="0.35">
      <c r="A80" s="19" t="s">
        <v>464</v>
      </c>
      <c r="B80" s="20">
        <v>0.1515</v>
      </c>
      <c r="C80" s="19">
        <v>0</v>
      </c>
      <c r="D80" s="19">
        <v>1</v>
      </c>
      <c r="E80" s="19">
        <f t="shared" si="2"/>
        <v>1</v>
      </c>
      <c r="F80" s="21">
        <f t="shared" si="3"/>
        <v>3.5211267605633804E-3</v>
      </c>
    </row>
    <row r="81" spans="1:6" x14ac:dyDescent="0.35">
      <c r="A81" s="19" t="s">
        <v>464</v>
      </c>
      <c r="B81" s="20">
        <v>0.155</v>
      </c>
      <c r="C81" s="19">
        <v>3</v>
      </c>
      <c r="D81" s="19">
        <v>0</v>
      </c>
      <c r="E81" s="19">
        <f t="shared" si="2"/>
        <v>3</v>
      </c>
      <c r="F81" s="21">
        <f t="shared" si="3"/>
        <v>1.0563380281690141E-2</v>
      </c>
    </row>
    <row r="82" spans="1:6" x14ac:dyDescent="0.35">
      <c r="A82" s="19" t="s">
        <v>464</v>
      </c>
      <c r="B82" s="20">
        <v>0.1575</v>
      </c>
      <c r="C82" s="19">
        <v>7</v>
      </c>
      <c r="D82" s="19">
        <v>0</v>
      </c>
      <c r="E82" s="19">
        <f t="shared" si="2"/>
        <v>7</v>
      </c>
      <c r="F82" s="21">
        <f t="shared" si="3"/>
        <v>2.464788732394366E-2</v>
      </c>
    </row>
    <row r="83" spans="1:6" x14ac:dyDescent="0.35">
      <c r="A83" s="19" t="s">
        <v>464</v>
      </c>
      <c r="B83" s="20">
        <v>0.15989999999999999</v>
      </c>
      <c r="C83" s="19">
        <v>67</v>
      </c>
      <c r="D83" s="19">
        <v>2</v>
      </c>
      <c r="E83" s="19">
        <f t="shared" si="2"/>
        <v>69</v>
      </c>
      <c r="F83" s="21">
        <f t="shared" si="3"/>
        <v>0.24295774647887325</v>
      </c>
    </row>
    <row r="84" spans="1:6" x14ac:dyDescent="0.35">
      <c r="A84" s="19" t="s">
        <v>464</v>
      </c>
      <c r="B84" s="20">
        <v>0.16250000000000001</v>
      </c>
      <c r="C84" s="19">
        <v>2</v>
      </c>
      <c r="D84" s="19">
        <v>1</v>
      </c>
      <c r="E84" s="19">
        <f t="shared" si="2"/>
        <v>3</v>
      </c>
      <c r="F84" s="21">
        <f t="shared" si="3"/>
        <v>1.0563380281690141E-2</v>
      </c>
    </row>
    <row r="85" spans="1:6" x14ac:dyDescent="0.35">
      <c r="A85" s="19" t="s">
        <v>464</v>
      </c>
      <c r="B85" s="20">
        <v>0.16500000000000001</v>
      </c>
      <c r="C85" s="19">
        <v>1</v>
      </c>
      <c r="D85" s="19">
        <v>14</v>
      </c>
      <c r="E85" s="19">
        <f t="shared" si="2"/>
        <v>15</v>
      </c>
      <c r="F85" s="21">
        <f t="shared" si="3"/>
        <v>5.2816901408450703E-2</v>
      </c>
    </row>
    <row r="86" spans="1:6" x14ac:dyDescent="0.35">
      <c r="A86" s="19" t="s">
        <v>464</v>
      </c>
      <c r="B86" s="20">
        <v>0.16750000000000001</v>
      </c>
      <c r="C86" s="19">
        <v>51</v>
      </c>
      <c r="D86" s="19">
        <v>2</v>
      </c>
      <c r="E86" s="19">
        <f t="shared" si="2"/>
        <v>53</v>
      </c>
      <c r="F86" s="21">
        <f t="shared" si="3"/>
        <v>0.18661971830985916</v>
      </c>
    </row>
    <row r="87" spans="1:6" x14ac:dyDescent="0.35">
      <c r="A87" s="19" t="s">
        <v>464</v>
      </c>
      <c r="B87" s="20">
        <v>0.1699</v>
      </c>
      <c r="C87" s="19">
        <v>56</v>
      </c>
      <c r="D87" s="19">
        <v>3</v>
      </c>
      <c r="E87" s="19">
        <f t="shared" si="2"/>
        <v>59</v>
      </c>
      <c r="F87" s="21">
        <f t="shared" si="3"/>
        <v>0.20774647887323944</v>
      </c>
    </row>
    <row r="88" spans="1:6" x14ac:dyDescent="0.35">
      <c r="A88" s="19" t="s">
        <v>464</v>
      </c>
      <c r="B88" s="20">
        <v>0.17</v>
      </c>
      <c r="C88" s="19">
        <v>0</v>
      </c>
      <c r="D88" s="19">
        <v>1</v>
      </c>
      <c r="E88" s="19">
        <f t="shared" si="2"/>
        <v>1</v>
      </c>
      <c r="F88" s="21">
        <f t="shared" si="3"/>
        <v>3.5211267605633804E-3</v>
      </c>
    </row>
    <row r="89" spans="1:6" x14ac:dyDescent="0.35">
      <c r="A89" s="19" t="s">
        <v>464</v>
      </c>
      <c r="B89" s="20">
        <v>0.17249999999999999</v>
      </c>
      <c r="C89" s="19">
        <v>0</v>
      </c>
      <c r="D89" s="19">
        <v>11</v>
      </c>
      <c r="E89" s="19">
        <f t="shared" si="2"/>
        <v>11</v>
      </c>
      <c r="F89" s="21">
        <f t="shared" si="3"/>
        <v>3.873239436619718E-2</v>
      </c>
    </row>
    <row r="90" spans="1:6" x14ac:dyDescent="0.35">
      <c r="A90" s="19" t="s">
        <v>464</v>
      </c>
      <c r="B90" s="20">
        <v>0.17299999999999999</v>
      </c>
      <c r="C90" s="19">
        <v>0</v>
      </c>
      <c r="D90" s="19">
        <v>1</v>
      </c>
      <c r="E90" s="19">
        <f t="shared" si="2"/>
        <v>1</v>
      </c>
      <c r="F90" s="21">
        <f t="shared" si="3"/>
        <v>3.5211267605633804E-3</v>
      </c>
    </row>
    <row r="91" spans="1:6" x14ac:dyDescent="0.35">
      <c r="A91" s="19" t="s">
        <v>464</v>
      </c>
      <c r="B91" s="20">
        <v>0.17499999999999999</v>
      </c>
      <c r="C91" s="19">
        <v>0</v>
      </c>
      <c r="D91" s="19">
        <v>17</v>
      </c>
      <c r="E91" s="19">
        <f t="shared" si="2"/>
        <v>17</v>
      </c>
      <c r="F91" s="21">
        <f t="shared" si="3"/>
        <v>5.9859154929577461E-2</v>
      </c>
    </row>
    <row r="92" spans="1:6" ht="15.6" thickBot="1" x14ac:dyDescent="0.4">
      <c r="A92" s="19" t="s">
        <v>464</v>
      </c>
      <c r="B92" s="20">
        <v>0.17749999999999999</v>
      </c>
      <c r="C92" s="19">
        <v>0</v>
      </c>
      <c r="D92" s="19">
        <v>4</v>
      </c>
      <c r="E92" s="19">
        <f t="shared" si="2"/>
        <v>4</v>
      </c>
      <c r="F92" s="21">
        <f t="shared" si="3"/>
        <v>1.4084507042253521E-2</v>
      </c>
    </row>
    <row r="93" spans="1:6" x14ac:dyDescent="0.35">
      <c r="A93" s="22" t="s">
        <v>465</v>
      </c>
      <c r="B93" s="23">
        <v>0.04</v>
      </c>
      <c r="C93" s="22">
        <v>0</v>
      </c>
      <c r="D93" s="22">
        <v>23</v>
      </c>
      <c r="E93" s="22">
        <f t="shared" si="2"/>
        <v>23</v>
      </c>
      <c r="F93" s="24">
        <f t="shared" si="3"/>
        <v>8.0701754385964913E-2</v>
      </c>
    </row>
    <row r="94" spans="1:6" x14ac:dyDescent="0.35">
      <c r="A94" s="19" t="s">
        <v>465</v>
      </c>
      <c r="B94" s="20">
        <v>7.0000000000000007E-2</v>
      </c>
      <c r="C94" s="19">
        <v>0</v>
      </c>
      <c r="D94" s="19">
        <v>9</v>
      </c>
      <c r="E94" s="19">
        <f t="shared" si="2"/>
        <v>9</v>
      </c>
      <c r="F94" s="21">
        <f t="shared" si="3"/>
        <v>3.1578947368421054E-2</v>
      </c>
    </row>
    <row r="95" spans="1:6" x14ac:dyDescent="0.35">
      <c r="A95" s="19" t="s">
        <v>465</v>
      </c>
      <c r="B95" s="20">
        <v>0.08</v>
      </c>
      <c r="C95" s="19">
        <v>0</v>
      </c>
      <c r="D95" s="19">
        <v>1</v>
      </c>
      <c r="E95" s="19">
        <f t="shared" si="2"/>
        <v>1</v>
      </c>
      <c r="F95" s="21">
        <f t="shared" si="3"/>
        <v>3.5087719298245615E-3</v>
      </c>
    </row>
    <row r="96" spans="1:6" x14ac:dyDescent="0.35">
      <c r="A96" s="19" t="s">
        <v>465</v>
      </c>
      <c r="B96" s="20">
        <v>8.5000000000000006E-2</v>
      </c>
      <c r="C96" s="19">
        <v>0</v>
      </c>
      <c r="D96" s="19">
        <v>2</v>
      </c>
      <c r="E96" s="19">
        <f t="shared" si="2"/>
        <v>2</v>
      </c>
      <c r="F96" s="21">
        <f t="shared" si="3"/>
        <v>7.0175438596491229E-3</v>
      </c>
    </row>
    <row r="97" spans="1:6" x14ac:dyDescent="0.35">
      <c r="A97" s="19" t="s">
        <v>465</v>
      </c>
      <c r="B97" s="20">
        <v>0.11</v>
      </c>
      <c r="C97" s="19">
        <v>0</v>
      </c>
      <c r="D97" s="19">
        <v>3</v>
      </c>
      <c r="E97" s="19">
        <f t="shared" si="2"/>
        <v>3</v>
      </c>
      <c r="F97" s="21">
        <f t="shared" si="3"/>
        <v>1.0526315789473684E-2</v>
      </c>
    </row>
    <row r="98" spans="1:6" x14ac:dyDescent="0.35">
      <c r="A98" s="19" t="s">
        <v>465</v>
      </c>
      <c r="B98" s="20">
        <v>0.12</v>
      </c>
      <c r="C98" s="19">
        <v>0</v>
      </c>
      <c r="D98" s="19">
        <v>1</v>
      </c>
      <c r="E98" s="19">
        <f t="shared" si="2"/>
        <v>1</v>
      </c>
      <c r="F98" s="21">
        <f t="shared" si="3"/>
        <v>3.5087719298245615E-3</v>
      </c>
    </row>
    <row r="99" spans="1:6" x14ac:dyDescent="0.35">
      <c r="A99" s="19" t="s">
        <v>465</v>
      </c>
      <c r="B99" s="20">
        <v>0.1225</v>
      </c>
      <c r="C99" s="19">
        <v>0</v>
      </c>
      <c r="D99" s="19">
        <v>1</v>
      </c>
      <c r="E99" s="19">
        <f t="shared" si="2"/>
        <v>1</v>
      </c>
      <c r="F99" s="21">
        <f t="shared" si="3"/>
        <v>3.5087719298245615E-3</v>
      </c>
    </row>
    <row r="100" spans="1:6" x14ac:dyDescent="0.35">
      <c r="A100" s="19" t="s">
        <v>465</v>
      </c>
      <c r="B100" s="20">
        <v>0.1389</v>
      </c>
      <c r="C100" s="19">
        <v>0</v>
      </c>
      <c r="D100" s="19">
        <v>1</v>
      </c>
      <c r="E100" s="19">
        <f t="shared" si="2"/>
        <v>1</v>
      </c>
      <c r="F100" s="21">
        <f t="shared" si="3"/>
        <v>3.5087719298245615E-3</v>
      </c>
    </row>
    <row r="101" spans="1:6" x14ac:dyDescent="0.35">
      <c r="A101" s="19" t="s">
        <v>465</v>
      </c>
      <c r="B101" s="20">
        <v>0.14990000000000001</v>
      </c>
      <c r="C101" s="19">
        <v>2</v>
      </c>
      <c r="D101" s="19">
        <v>0</v>
      </c>
      <c r="E101" s="19">
        <f t="shared" si="2"/>
        <v>2</v>
      </c>
      <c r="F101" s="21">
        <f t="shared" si="3"/>
        <v>7.0175438596491229E-3</v>
      </c>
    </row>
    <row r="102" spans="1:6" x14ac:dyDescent="0.35">
      <c r="A102" s="19" t="s">
        <v>465</v>
      </c>
      <c r="B102" s="20">
        <v>0.15</v>
      </c>
      <c r="C102" s="19">
        <v>1</v>
      </c>
      <c r="D102" s="19">
        <v>1</v>
      </c>
      <c r="E102" s="19">
        <f t="shared" si="2"/>
        <v>2</v>
      </c>
      <c r="F102" s="21">
        <f t="shared" si="3"/>
        <v>7.0175438596491229E-3</v>
      </c>
    </row>
    <row r="103" spans="1:6" x14ac:dyDescent="0.35">
      <c r="A103" s="19" t="s">
        <v>465</v>
      </c>
      <c r="B103" s="20">
        <v>0.15110000000000001</v>
      </c>
      <c r="C103" s="19">
        <v>0</v>
      </c>
      <c r="D103" s="19">
        <v>2</v>
      </c>
      <c r="E103" s="19">
        <f t="shared" si="2"/>
        <v>2</v>
      </c>
      <c r="F103" s="21">
        <f t="shared" si="3"/>
        <v>7.0175438596491229E-3</v>
      </c>
    </row>
    <row r="104" spans="1:6" x14ac:dyDescent="0.35">
      <c r="A104" s="19" t="s">
        <v>465</v>
      </c>
      <c r="B104" s="20">
        <v>0.1515</v>
      </c>
      <c r="C104" s="19">
        <v>0</v>
      </c>
      <c r="D104" s="19">
        <v>1</v>
      </c>
      <c r="E104" s="19">
        <f t="shared" si="2"/>
        <v>1</v>
      </c>
      <c r="F104" s="21">
        <f t="shared" si="3"/>
        <v>3.5087719298245615E-3</v>
      </c>
    </row>
    <row r="105" spans="1:6" x14ac:dyDescent="0.35">
      <c r="A105" s="19" t="s">
        <v>465</v>
      </c>
      <c r="B105" s="20">
        <v>0.1525</v>
      </c>
      <c r="C105" s="19">
        <v>2</v>
      </c>
      <c r="D105" s="19">
        <v>0</v>
      </c>
      <c r="E105" s="19">
        <f t="shared" si="2"/>
        <v>2</v>
      </c>
      <c r="F105" s="21">
        <f t="shared" si="3"/>
        <v>7.0175438596491229E-3</v>
      </c>
    </row>
    <row r="106" spans="1:6" x14ac:dyDescent="0.35">
      <c r="A106" s="19" t="s">
        <v>465</v>
      </c>
      <c r="B106" s="20">
        <v>0.15490000000000001</v>
      </c>
      <c r="C106" s="19">
        <v>4</v>
      </c>
      <c r="D106" s="19">
        <v>0</v>
      </c>
      <c r="E106" s="19">
        <f t="shared" si="2"/>
        <v>4</v>
      </c>
      <c r="F106" s="21">
        <f t="shared" si="3"/>
        <v>1.4035087719298246E-2</v>
      </c>
    </row>
    <row r="107" spans="1:6" x14ac:dyDescent="0.35">
      <c r="A107" s="19" t="s">
        <v>465</v>
      </c>
      <c r="B107" s="20">
        <v>0.1555</v>
      </c>
      <c r="C107" s="19">
        <v>1</v>
      </c>
      <c r="D107" s="19">
        <v>2</v>
      </c>
      <c r="E107" s="19">
        <f t="shared" si="2"/>
        <v>3</v>
      </c>
      <c r="F107" s="21">
        <f t="shared" si="3"/>
        <v>1.0526315789473684E-2</v>
      </c>
    </row>
    <row r="108" spans="1:6" x14ac:dyDescent="0.35">
      <c r="A108" s="19" t="s">
        <v>465</v>
      </c>
      <c r="B108" s="20">
        <v>0.15740000000000001</v>
      </c>
      <c r="C108" s="19">
        <v>2</v>
      </c>
      <c r="D108" s="19">
        <v>0</v>
      </c>
      <c r="E108" s="19">
        <f t="shared" si="2"/>
        <v>2</v>
      </c>
      <c r="F108" s="21">
        <f t="shared" si="3"/>
        <v>7.0175438596491229E-3</v>
      </c>
    </row>
    <row r="109" spans="1:6" x14ac:dyDescent="0.35">
      <c r="A109" s="19" t="s">
        <v>465</v>
      </c>
      <c r="B109" s="20">
        <v>0.1575</v>
      </c>
      <c r="C109" s="19">
        <v>4</v>
      </c>
      <c r="D109" s="19">
        <v>0</v>
      </c>
      <c r="E109" s="19">
        <f t="shared" si="2"/>
        <v>4</v>
      </c>
      <c r="F109" s="21">
        <f t="shared" si="3"/>
        <v>1.4035087719298246E-2</v>
      </c>
    </row>
    <row r="110" spans="1:6" x14ac:dyDescent="0.35">
      <c r="A110" s="19" t="s">
        <v>465</v>
      </c>
      <c r="B110" s="20">
        <v>0.15989999999999999</v>
      </c>
      <c r="C110" s="19">
        <v>27</v>
      </c>
      <c r="D110" s="19">
        <v>6</v>
      </c>
      <c r="E110" s="19">
        <f t="shared" si="2"/>
        <v>33</v>
      </c>
      <c r="F110" s="21">
        <f t="shared" si="3"/>
        <v>0.11578947368421053</v>
      </c>
    </row>
    <row r="111" spans="1:6" x14ac:dyDescent="0.35">
      <c r="A111" s="19" t="s">
        <v>465</v>
      </c>
      <c r="B111" s="20">
        <v>0.16</v>
      </c>
      <c r="C111" s="19">
        <v>0</v>
      </c>
      <c r="D111" s="19">
        <v>2</v>
      </c>
      <c r="E111" s="19">
        <f t="shared" si="2"/>
        <v>2</v>
      </c>
      <c r="F111" s="21">
        <f t="shared" si="3"/>
        <v>7.0175438596491229E-3</v>
      </c>
    </row>
    <row r="112" spans="1:6" x14ac:dyDescent="0.35">
      <c r="A112" s="19" t="s">
        <v>465</v>
      </c>
      <c r="B112" s="20">
        <v>0.16239999999999999</v>
      </c>
      <c r="C112" s="19">
        <v>7</v>
      </c>
      <c r="D112" s="19">
        <v>0</v>
      </c>
      <c r="E112" s="19">
        <f t="shared" si="2"/>
        <v>7</v>
      </c>
      <c r="F112" s="21">
        <f t="shared" si="3"/>
        <v>2.456140350877193E-2</v>
      </c>
    </row>
    <row r="113" spans="1:6" x14ac:dyDescent="0.35">
      <c r="A113" s="19" t="s">
        <v>465</v>
      </c>
      <c r="B113" s="20">
        <v>0.16250000000000001</v>
      </c>
      <c r="C113" s="19">
        <v>11</v>
      </c>
      <c r="D113" s="19">
        <v>0</v>
      </c>
      <c r="E113" s="19">
        <f t="shared" si="2"/>
        <v>11</v>
      </c>
      <c r="F113" s="21">
        <f t="shared" si="3"/>
        <v>3.8596491228070177E-2</v>
      </c>
    </row>
    <row r="114" spans="1:6" x14ac:dyDescent="0.35">
      <c r="A114" s="19" t="s">
        <v>465</v>
      </c>
      <c r="B114" s="20">
        <v>0.16489999999999999</v>
      </c>
      <c r="C114" s="19">
        <v>34</v>
      </c>
      <c r="D114" s="19">
        <v>0</v>
      </c>
      <c r="E114" s="19">
        <f t="shared" si="2"/>
        <v>34</v>
      </c>
      <c r="F114" s="21">
        <f t="shared" si="3"/>
        <v>0.11929824561403508</v>
      </c>
    </row>
    <row r="115" spans="1:6" x14ac:dyDescent="0.35">
      <c r="A115" s="19" t="s">
        <v>465</v>
      </c>
      <c r="B115" s="20">
        <v>0.16500000000000001</v>
      </c>
      <c r="C115" s="19">
        <v>7</v>
      </c>
      <c r="D115" s="19">
        <v>19</v>
      </c>
      <c r="E115" s="19">
        <f t="shared" si="2"/>
        <v>26</v>
      </c>
      <c r="F115" s="21">
        <f t="shared" si="3"/>
        <v>9.1228070175438603E-2</v>
      </c>
    </row>
    <row r="116" spans="1:6" x14ac:dyDescent="0.35">
      <c r="A116" s="19" t="s">
        <v>465</v>
      </c>
      <c r="B116" s="20">
        <v>0.16739999999999999</v>
      </c>
      <c r="C116" s="19">
        <v>5</v>
      </c>
      <c r="D116" s="19">
        <v>0</v>
      </c>
      <c r="E116" s="19">
        <f t="shared" si="2"/>
        <v>5</v>
      </c>
      <c r="F116" s="21">
        <f t="shared" si="3"/>
        <v>1.7543859649122806E-2</v>
      </c>
    </row>
    <row r="117" spans="1:6" x14ac:dyDescent="0.35">
      <c r="A117" s="19" t="s">
        <v>465</v>
      </c>
      <c r="B117" s="20">
        <v>0.16750000000000001</v>
      </c>
      <c r="C117" s="19">
        <v>23</v>
      </c>
      <c r="D117" s="19">
        <v>1</v>
      </c>
      <c r="E117" s="19">
        <f t="shared" si="2"/>
        <v>24</v>
      </c>
      <c r="F117" s="21">
        <f t="shared" si="3"/>
        <v>8.4210526315789472E-2</v>
      </c>
    </row>
    <row r="118" spans="1:6" x14ac:dyDescent="0.35">
      <c r="A118" s="19" t="s">
        <v>465</v>
      </c>
      <c r="B118" s="20">
        <v>0.1699</v>
      </c>
      <c r="C118" s="19">
        <v>16</v>
      </c>
      <c r="D118" s="19">
        <v>0</v>
      </c>
      <c r="E118" s="19">
        <f t="shared" si="2"/>
        <v>16</v>
      </c>
      <c r="F118" s="21">
        <f t="shared" si="3"/>
        <v>5.6140350877192984E-2</v>
      </c>
    </row>
    <row r="119" spans="1:6" x14ac:dyDescent="0.35">
      <c r="A119" s="19" t="s">
        <v>465</v>
      </c>
      <c r="B119" s="20">
        <v>0.17</v>
      </c>
      <c r="C119" s="19">
        <v>4</v>
      </c>
      <c r="D119" s="19">
        <v>2</v>
      </c>
      <c r="E119" s="19">
        <f t="shared" si="2"/>
        <v>6</v>
      </c>
      <c r="F119" s="21">
        <f t="shared" si="3"/>
        <v>2.1052631578947368E-2</v>
      </c>
    </row>
    <row r="120" spans="1:6" x14ac:dyDescent="0.35">
      <c r="A120" s="19" t="s">
        <v>465</v>
      </c>
      <c r="B120" s="20">
        <v>0.1724</v>
      </c>
      <c r="C120" s="19">
        <v>4</v>
      </c>
      <c r="D120" s="19">
        <v>0</v>
      </c>
      <c r="E120" s="19">
        <f t="shared" si="2"/>
        <v>4</v>
      </c>
      <c r="F120" s="21">
        <f t="shared" si="3"/>
        <v>1.4035087719298246E-2</v>
      </c>
    </row>
    <row r="121" spans="1:6" x14ac:dyDescent="0.35">
      <c r="A121" s="19" t="s">
        <v>465</v>
      </c>
      <c r="B121" s="20">
        <v>0.17249999999999999</v>
      </c>
      <c r="C121" s="19">
        <v>13</v>
      </c>
      <c r="D121" s="19">
        <v>13</v>
      </c>
      <c r="E121" s="19">
        <f t="shared" si="2"/>
        <v>26</v>
      </c>
      <c r="F121" s="21">
        <f t="shared" si="3"/>
        <v>9.1228070175438603E-2</v>
      </c>
    </row>
    <row r="122" spans="1:6" x14ac:dyDescent="0.35">
      <c r="A122" s="19" t="s">
        <v>465</v>
      </c>
      <c r="B122" s="20">
        <v>0.1749</v>
      </c>
      <c r="C122" s="19">
        <v>5</v>
      </c>
      <c r="D122" s="19">
        <v>0</v>
      </c>
      <c r="E122" s="19">
        <f t="shared" si="2"/>
        <v>5</v>
      </c>
      <c r="F122" s="21">
        <f t="shared" si="3"/>
        <v>1.7543859649122806E-2</v>
      </c>
    </row>
    <row r="123" spans="1:6" x14ac:dyDescent="0.35">
      <c r="A123" s="19" t="s">
        <v>465</v>
      </c>
      <c r="B123" s="20">
        <v>0.17499999999999999</v>
      </c>
      <c r="C123" s="19">
        <v>0</v>
      </c>
      <c r="D123" s="19">
        <v>18</v>
      </c>
      <c r="E123" s="19">
        <f t="shared" si="2"/>
        <v>18</v>
      </c>
      <c r="F123" s="21">
        <f t="shared" si="3"/>
        <v>6.3157894736842107E-2</v>
      </c>
    </row>
    <row r="124" spans="1:6" ht="15.6" thickBot="1" x14ac:dyDescent="0.4">
      <c r="A124" s="19" t="s">
        <v>465</v>
      </c>
      <c r="B124" s="20">
        <v>0.17749999999999999</v>
      </c>
      <c r="C124" s="19">
        <v>0</v>
      </c>
      <c r="D124" s="19">
        <v>5</v>
      </c>
      <c r="E124" s="19">
        <f t="shared" si="2"/>
        <v>5</v>
      </c>
      <c r="F124" s="21">
        <f t="shared" si="3"/>
        <v>1.7543859649122806E-2</v>
      </c>
    </row>
    <row r="125" spans="1:6" x14ac:dyDescent="0.35">
      <c r="A125" s="22" t="s">
        <v>425</v>
      </c>
      <c r="B125" s="23">
        <v>0.04</v>
      </c>
      <c r="C125" s="22">
        <v>0</v>
      </c>
      <c r="D125" s="22">
        <v>19</v>
      </c>
      <c r="E125" s="22">
        <f t="shared" si="2"/>
        <v>19</v>
      </c>
      <c r="F125" s="24">
        <f t="shared" si="3"/>
        <v>6.4406779661016947E-2</v>
      </c>
    </row>
    <row r="126" spans="1:6" x14ac:dyDescent="0.35">
      <c r="A126" s="19" t="s">
        <v>425</v>
      </c>
      <c r="B126" s="20">
        <v>5.5E-2</v>
      </c>
      <c r="C126" s="19">
        <v>0</v>
      </c>
      <c r="D126" s="19">
        <v>1</v>
      </c>
      <c r="E126" s="19">
        <f t="shared" si="2"/>
        <v>1</v>
      </c>
      <c r="F126" s="21">
        <f t="shared" si="3"/>
        <v>3.3898305084745762E-3</v>
      </c>
    </row>
    <row r="127" spans="1:6" x14ac:dyDescent="0.35">
      <c r="A127" s="19" t="s">
        <v>425</v>
      </c>
      <c r="B127" s="20">
        <v>7.0000000000000007E-2</v>
      </c>
      <c r="C127" s="19">
        <v>0</v>
      </c>
      <c r="D127" s="19">
        <v>11</v>
      </c>
      <c r="E127" s="19">
        <f t="shared" si="2"/>
        <v>11</v>
      </c>
      <c r="F127" s="21">
        <f t="shared" si="3"/>
        <v>3.7288135593220341E-2</v>
      </c>
    </row>
    <row r="128" spans="1:6" x14ac:dyDescent="0.35">
      <c r="A128" s="19" t="s">
        <v>425</v>
      </c>
      <c r="B128" s="20">
        <v>0.10050000000000001</v>
      </c>
      <c r="C128" s="19">
        <v>0</v>
      </c>
      <c r="D128" s="19">
        <v>1</v>
      </c>
      <c r="E128" s="19">
        <f t="shared" si="2"/>
        <v>1</v>
      </c>
      <c r="F128" s="21">
        <f t="shared" si="3"/>
        <v>3.3898305084745762E-3</v>
      </c>
    </row>
    <row r="129" spans="1:6" x14ac:dyDescent="0.35">
      <c r="A129" s="19" t="s">
        <v>425</v>
      </c>
      <c r="B129" s="20">
        <v>0.1075</v>
      </c>
      <c r="C129" s="19">
        <v>0</v>
      </c>
      <c r="D129" s="19">
        <v>2</v>
      </c>
      <c r="E129" s="19">
        <f t="shared" si="2"/>
        <v>2</v>
      </c>
      <c r="F129" s="21">
        <f t="shared" si="3"/>
        <v>6.7796610169491523E-3</v>
      </c>
    </row>
    <row r="130" spans="1:6" x14ac:dyDescent="0.35">
      <c r="A130" s="19" t="s">
        <v>425</v>
      </c>
      <c r="B130" s="20">
        <v>0.11</v>
      </c>
      <c r="C130" s="19">
        <v>0</v>
      </c>
      <c r="D130" s="19">
        <v>2</v>
      </c>
      <c r="E130" s="19">
        <f t="shared" ref="E130:E193" si="4">C130+D130</f>
        <v>2</v>
      </c>
      <c r="F130" s="21">
        <f t="shared" ref="F130:F193" si="5">E130/SUMIFS($E$2:$E$303,$A$2:$A$303,A130)</f>
        <v>6.7796610169491523E-3</v>
      </c>
    </row>
    <row r="131" spans="1:6" x14ac:dyDescent="0.35">
      <c r="A131" s="19" t="s">
        <v>425</v>
      </c>
      <c r="B131" s="20">
        <v>0.1125</v>
      </c>
      <c r="C131" s="19">
        <v>0</v>
      </c>
      <c r="D131" s="19">
        <v>1</v>
      </c>
      <c r="E131" s="19">
        <f t="shared" si="4"/>
        <v>1</v>
      </c>
      <c r="F131" s="21">
        <f t="shared" si="5"/>
        <v>3.3898305084745762E-3</v>
      </c>
    </row>
    <row r="132" spans="1:6" x14ac:dyDescent="0.35">
      <c r="A132" s="19" t="s">
        <v>425</v>
      </c>
      <c r="B132" s="20">
        <v>0.121</v>
      </c>
      <c r="C132" s="19">
        <v>0</v>
      </c>
      <c r="D132" s="19">
        <v>1</v>
      </c>
      <c r="E132" s="19">
        <f t="shared" si="4"/>
        <v>1</v>
      </c>
      <c r="F132" s="21">
        <f t="shared" si="5"/>
        <v>3.3898305084745762E-3</v>
      </c>
    </row>
    <row r="133" spans="1:6" x14ac:dyDescent="0.35">
      <c r="A133" s="19" t="s">
        <v>425</v>
      </c>
      <c r="B133" s="20">
        <v>0.1225</v>
      </c>
      <c r="C133" s="19">
        <v>0</v>
      </c>
      <c r="D133" s="19">
        <v>1</v>
      </c>
      <c r="E133" s="19">
        <f t="shared" si="4"/>
        <v>1</v>
      </c>
      <c r="F133" s="21">
        <f t="shared" si="5"/>
        <v>3.3898305084745762E-3</v>
      </c>
    </row>
    <row r="134" spans="1:6" x14ac:dyDescent="0.35">
      <c r="A134" s="19" t="s">
        <v>425</v>
      </c>
      <c r="B134" s="20">
        <v>0.14499999999999999</v>
      </c>
      <c r="C134" s="19">
        <v>1</v>
      </c>
      <c r="D134" s="19">
        <v>0</v>
      </c>
      <c r="E134" s="19">
        <f t="shared" si="4"/>
        <v>1</v>
      </c>
      <c r="F134" s="21">
        <f t="shared" si="5"/>
        <v>3.3898305084745762E-3</v>
      </c>
    </row>
    <row r="135" spans="1:6" x14ac:dyDescent="0.35">
      <c r="A135" s="19" t="s">
        <v>425</v>
      </c>
      <c r="B135" s="20">
        <v>0.14710000000000001</v>
      </c>
      <c r="C135" s="19">
        <v>0</v>
      </c>
      <c r="D135" s="19">
        <v>1</v>
      </c>
      <c r="E135" s="19">
        <f t="shared" si="4"/>
        <v>1</v>
      </c>
      <c r="F135" s="21">
        <f t="shared" si="5"/>
        <v>3.3898305084745762E-3</v>
      </c>
    </row>
    <row r="136" spans="1:6" x14ac:dyDescent="0.35">
      <c r="A136" s="19" t="s">
        <v>425</v>
      </c>
      <c r="B136" s="20">
        <v>0.14749999999999999</v>
      </c>
      <c r="C136" s="19">
        <v>1</v>
      </c>
      <c r="D136" s="19">
        <v>0</v>
      </c>
      <c r="E136" s="19">
        <f t="shared" si="4"/>
        <v>1</v>
      </c>
      <c r="F136" s="21">
        <f t="shared" si="5"/>
        <v>3.3898305084745762E-3</v>
      </c>
    </row>
    <row r="137" spans="1:6" x14ac:dyDescent="0.35">
      <c r="A137" s="19" t="s">
        <v>425</v>
      </c>
      <c r="B137" s="20">
        <v>0.14860000000000001</v>
      </c>
      <c r="C137" s="19">
        <v>0</v>
      </c>
      <c r="D137" s="19">
        <v>1</v>
      </c>
      <c r="E137" s="19">
        <f t="shared" si="4"/>
        <v>1</v>
      </c>
      <c r="F137" s="21">
        <f t="shared" si="5"/>
        <v>3.3898305084745762E-3</v>
      </c>
    </row>
    <row r="138" spans="1:6" x14ac:dyDescent="0.35">
      <c r="A138" s="19" t="s">
        <v>425</v>
      </c>
      <c r="B138" s="20">
        <v>0.14990000000000001</v>
      </c>
      <c r="C138" s="19">
        <v>1</v>
      </c>
      <c r="D138" s="19">
        <v>0</v>
      </c>
      <c r="E138" s="19">
        <f t="shared" si="4"/>
        <v>1</v>
      </c>
      <c r="F138" s="21">
        <f t="shared" si="5"/>
        <v>3.3898305084745762E-3</v>
      </c>
    </row>
    <row r="139" spans="1:6" x14ac:dyDescent="0.35">
      <c r="A139" s="19" t="s">
        <v>425</v>
      </c>
      <c r="B139" s="20">
        <v>0.15</v>
      </c>
      <c r="C139" s="19">
        <v>0</v>
      </c>
      <c r="D139" s="19">
        <v>2</v>
      </c>
      <c r="E139" s="19">
        <f t="shared" si="4"/>
        <v>2</v>
      </c>
      <c r="F139" s="21">
        <f t="shared" si="5"/>
        <v>6.7796610169491523E-3</v>
      </c>
    </row>
    <row r="140" spans="1:6" x14ac:dyDescent="0.35">
      <c r="A140" s="19" t="s">
        <v>425</v>
      </c>
      <c r="B140" s="20">
        <v>0.15110000000000001</v>
      </c>
      <c r="C140" s="19">
        <v>0</v>
      </c>
      <c r="D140" s="19">
        <v>1</v>
      </c>
      <c r="E140" s="19">
        <f t="shared" si="4"/>
        <v>1</v>
      </c>
      <c r="F140" s="21">
        <f t="shared" si="5"/>
        <v>3.3898305084745762E-3</v>
      </c>
    </row>
    <row r="141" spans="1:6" x14ac:dyDescent="0.35">
      <c r="A141" s="19" t="s">
        <v>425</v>
      </c>
      <c r="B141" s="20">
        <v>0.1515</v>
      </c>
      <c r="C141" s="19">
        <v>0</v>
      </c>
      <c r="D141" s="19">
        <v>1</v>
      </c>
      <c r="E141" s="19">
        <f t="shared" si="4"/>
        <v>1</v>
      </c>
      <c r="F141" s="21">
        <f t="shared" si="5"/>
        <v>3.3898305084745762E-3</v>
      </c>
    </row>
    <row r="142" spans="1:6" x14ac:dyDescent="0.35">
      <c r="A142" s="19" t="s">
        <v>425</v>
      </c>
      <c r="B142" s="20">
        <v>0.1525</v>
      </c>
      <c r="C142" s="19">
        <v>3</v>
      </c>
      <c r="D142" s="19">
        <v>0</v>
      </c>
      <c r="E142" s="19">
        <f t="shared" si="4"/>
        <v>3</v>
      </c>
      <c r="F142" s="21">
        <f t="shared" si="5"/>
        <v>1.0169491525423728E-2</v>
      </c>
    </row>
    <row r="143" spans="1:6" x14ac:dyDescent="0.35">
      <c r="A143" s="19" t="s">
        <v>425</v>
      </c>
      <c r="B143" s="20">
        <v>0.15490000000000001</v>
      </c>
      <c r="C143" s="19">
        <v>2</v>
      </c>
      <c r="D143" s="19">
        <v>0</v>
      </c>
      <c r="E143" s="19">
        <f t="shared" si="4"/>
        <v>2</v>
      </c>
      <c r="F143" s="21">
        <f t="shared" si="5"/>
        <v>6.7796610169491523E-3</v>
      </c>
    </row>
    <row r="144" spans="1:6" x14ac:dyDescent="0.35">
      <c r="A144" s="19" t="s">
        <v>425</v>
      </c>
      <c r="B144" s="20">
        <v>0.155</v>
      </c>
      <c r="C144" s="19">
        <v>2</v>
      </c>
      <c r="D144" s="19">
        <v>1</v>
      </c>
      <c r="E144" s="19">
        <f t="shared" si="4"/>
        <v>3</v>
      </c>
      <c r="F144" s="21">
        <f t="shared" si="5"/>
        <v>1.0169491525423728E-2</v>
      </c>
    </row>
    <row r="145" spans="1:6" x14ac:dyDescent="0.35">
      <c r="A145" s="19" t="s">
        <v>425</v>
      </c>
      <c r="B145" s="20">
        <v>0.1555</v>
      </c>
      <c r="C145" s="19">
        <v>0</v>
      </c>
      <c r="D145" s="19">
        <v>1</v>
      </c>
      <c r="E145" s="19">
        <f t="shared" si="4"/>
        <v>1</v>
      </c>
      <c r="F145" s="21">
        <f t="shared" si="5"/>
        <v>3.3898305084745762E-3</v>
      </c>
    </row>
    <row r="146" spans="1:6" x14ac:dyDescent="0.35">
      <c r="A146" s="19" t="s">
        <v>425</v>
      </c>
      <c r="B146" s="20">
        <v>0.15740000000000001</v>
      </c>
      <c r="C146" s="19">
        <v>11</v>
      </c>
      <c r="D146" s="19">
        <v>0</v>
      </c>
      <c r="E146" s="19">
        <f t="shared" si="4"/>
        <v>11</v>
      </c>
      <c r="F146" s="21">
        <f t="shared" si="5"/>
        <v>3.7288135593220341E-2</v>
      </c>
    </row>
    <row r="147" spans="1:6" x14ac:dyDescent="0.35">
      <c r="A147" s="19" t="s">
        <v>425</v>
      </c>
      <c r="B147" s="20">
        <v>0.1575</v>
      </c>
      <c r="C147" s="19">
        <v>2</v>
      </c>
      <c r="D147" s="19">
        <v>2</v>
      </c>
      <c r="E147" s="19">
        <f t="shared" si="4"/>
        <v>4</v>
      </c>
      <c r="F147" s="21">
        <f t="shared" si="5"/>
        <v>1.3559322033898305E-2</v>
      </c>
    </row>
    <row r="148" spans="1:6" x14ac:dyDescent="0.35">
      <c r="A148" s="19" t="s">
        <v>425</v>
      </c>
      <c r="B148" s="20">
        <v>0.15989999999999999</v>
      </c>
      <c r="C148" s="19">
        <v>9</v>
      </c>
      <c r="D148" s="19">
        <v>2</v>
      </c>
      <c r="E148" s="19">
        <f t="shared" si="4"/>
        <v>11</v>
      </c>
      <c r="F148" s="21">
        <f t="shared" si="5"/>
        <v>3.7288135593220341E-2</v>
      </c>
    </row>
    <row r="149" spans="1:6" x14ac:dyDescent="0.35">
      <c r="A149" s="19" t="s">
        <v>425</v>
      </c>
      <c r="B149" s="20">
        <v>0.16</v>
      </c>
      <c r="C149" s="19">
        <v>2</v>
      </c>
      <c r="D149" s="19">
        <v>1</v>
      </c>
      <c r="E149" s="19">
        <f t="shared" si="4"/>
        <v>3</v>
      </c>
      <c r="F149" s="21">
        <f t="shared" si="5"/>
        <v>1.0169491525423728E-2</v>
      </c>
    </row>
    <row r="150" spans="1:6" x14ac:dyDescent="0.35">
      <c r="A150" s="19" t="s">
        <v>425</v>
      </c>
      <c r="B150" s="20">
        <v>0.16239999999999999</v>
      </c>
      <c r="C150" s="19">
        <v>16</v>
      </c>
      <c r="D150" s="19">
        <v>0</v>
      </c>
      <c r="E150" s="19">
        <f t="shared" si="4"/>
        <v>16</v>
      </c>
      <c r="F150" s="21">
        <f t="shared" si="5"/>
        <v>5.4237288135593219E-2</v>
      </c>
    </row>
    <row r="151" spans="1:6" x14ac:dyDescent="0.35">
      <c r="A151" s="19" t="s">
        <v>425</v>
      </c>
      <c r="B151" s="20">
        <v>0.16250000000000001</v>
      </c>
      <c r="C151" s="19">
        <v>14</v>
      </c>
      <c r="D151" s="19">
        <v>1</v>
      </c>
      <c r="E151" s="19">
        <f t="shared" si="4"/>
        <v>15</v>
      </c>
      <c r="F151" s="21">
        <f t="shared" si="5"/>
        <v>5.0847457627118647E-2</v>
      </c>
    </row>
    <row r="152" spans="1:6" x14ac:dyDescent="0.35">
      <c r="A152" s="19" t="s">
        <v>425</v>
      </c>
      <c r="B152" s="20">
        <v>0.16489999999999999</v>
      </c>
      <c r="C152" s="19">
        <v>33</v>
      </c>
      <c r="D152" s="19">
        <v>0</v>
      </c>
      <c r="E152" s="19">
        <f t="shared" si="4"/>
        <v>33</v>
      </c>
      <c r="F152" s="21">
        <f t="shared" si="5"/>
        <v>0.11186440677966102</v>
      </c>
    </row>
    <row r="153" spans="1:6" x14ac:dyDescent="0.35">
      <c r="A153" s="19" t="s">
        <v>425</v>
      </c>
      <c r="B153" s="20">
        <v>0.16500000000000001</v>
      </c>
      <c r="C153" s="19">
        <v>12</v>
      </c>
      <c r="D153" s="19">
        <v>9</v>
      </c>
      <c r="E153" s="19">
        <f t="shared" si="4"/>
        <v>21</v>
      </c>
      <c r="F153" s="21">
        <f t="shared" si="5"/>
        <v>7.1186440677966104E-2</v>
      </c>
    </row>
    <row r="154" spans="1:6" x14ac:dyDescent="0.35">
      <c r="A154" s="19" t="s">
        <v>425</v>
      </c>
      <c r="B154" s="20">
        <v>0.16739999999999999</v>
      </c>
      <c r="C154" s="19">
        <v>8</v>
      </c>
      <c r="D154" s="19">
        <v>0</v>
      </c>
      <c r="E154" s="19">
        <f t="shared" si="4"/>
        <v>8</v>
      </c>
      <c r="F154" s="21">
        <f t="shared" si="5"/>
        <v>2.7118644067796609E-2</v>
      </c>
    </row>
    <row r="155" spans="1:6" x14ac:dyDescent="0.35">
      <c r="A155" s="19" t="s">
        <v>425</v>
      </c>
      <c r="B155" s="20">
        <v>0.16750000000000001</v>
      </c>
      <c r="C155" s="19">
        <v>15</v>
      </c>
      <c r="D155" s="19">
        <v>4</v>
      </c>
      <c r="E155" s="19">
        <f t="shared" si="4"/>
        <v>19</v>
      </c>
      <c r="F155" s="21">
        <f t="shared" si="5"/>
        <v>6.4406779661016947E-2</v>
      </c>
    </row>
    <row r="156" spans="1:6" x14ac:dyDescent="0.35">
      <c r="A156" s="19" t="s">
        <v>425</v>
      </c>
      <c r="B156" s="20">
        <v>0.1699</v>
      </c>
      <c r="C156" s="19">
        <v>12</v>
      </c>
      <c r="D156" s="19">
        <v>4</v>
      </c>
      <c r="E156" s="19">
        <f t="shared" si="4"/>
        <v>16</v>
      </c>
      <c r="F156" s="21">
        <f t="shared" si="5"/>
        <v>5.4237288135593219E-2</v>
      </c>
    </row>
    <row r="157" spans="1:6" x14ac:dyDescent="0.35">
      <c r="A157" s="19" t="s">
        <v>425</v>
      </c>
      <c r="B157" s="20">
        <v>0.17</v>
      </c>
      <c r="C157" s="19">
        <v>12</v>
      </c>
      <c r="D157" s="19">
        <v>6</v>
      </c>
      <c r="E157" s="19">
        <f t="shared" si="4"/>
        <v>18</v>
      </c>
      <c r="F157" s="21">
        <f t="shared" si="5"/>
        <v>6.1016949152542375E-2</v>
      </c>
    </row>
    <row r="158" spans="1:6" x14ac:dyDescent="0.35">
      <c r="A158" s="19" t="s">
        <v>425</v>
      </c>
      <c r="B158" s="20">
        <v>0.1724</v>
      </c>
      <c r="C158" s="19">
        <v>9</v>
      </c>
      <c r="D158" s="19">
        <v>0</v>
      </c>
      <c r="E158" s="19">
        <f t="shared" si="4"/>
        <v>9</v>
      </c>
      <c r="F158" s="21">
        <f t="shared" si="5"/>
        <v>3.0508474576271188E-2</v>
      </c>
    </row>
    <row r="159" spans="1:6" x14ac:dyDescent="0.35">
      <c r="A159" s="19" t="s">
        <v>425</v>
      </c>
      <c r="B159" s="20">
        <v>0.17249999999999999</v>
      </c>
      <c r="C159" s="19">
        <v>18</v>
      </c>
      <c r="D159" s="19">
        <v>8</v>
      </c>
      <c r="E159" s="19">
        <f t="shared" si="4"/>
        <v>26</v>
      </c>
      <c r="F159" s="21">
        <f t="shared" si="5"/>
        <v>8.8135593220338981E-2</v>
      </c>
    </row>
    <row r="160" spans="1:6" x14ac:dyDescent="0.35">
      <c r="A160" s="19" t="s">
        <v>425</v>
      </c>
      <c r="B160" s="20">
        <v>0.1749</v>
      </c>
      <c r="C160" s="19">
        <v>8</v>
      </c>
      <c r="D160" s="19">
        <v>0</v>
      </c>
      <c r="E160" s="19">
        <f t="shared" si="4"/>
        <v>8</v>
      </c>
      <c r="F160" s="21">
        <f t="shared" si="5"/>
        <v>2.7118644067796609E-2</v>
      </c>
    </row>
    <row r="161" spans="1:6" x14ac:dyDescent="0.35">
      <c r="A161" s="19" t="s">
        <v>425</v>
      </c>
      <c r="B161" s="20">
        <v>0.17499999999999999</v>
      </c>
      <c r="C161" s="19">
        <v>0</v>
      </c>
      <c r="D161" s="19">
        <v>16</v>
      </c>
      <c r="E161" s="19">
        <f t="shared" si="4"/>
        <v>16</v>
      </c>
      <c r="F161" s="21">
        <f t="shared" si="5"/>
        <v>5.4237288135593219E-2</v>
      </c>
    </row>
    <row r="162" spans="1:6" ht="15.6" thickBot="1" x14ac:dyDescent="0.4">
      <c r="A162" s="19" t="s">
        <v>425</v>
      </c>
      <c r="B162" s="20">
        <v>0.17749999999999999</v>
      </c>
      <c r="C162" s="19">
        <v>0</v>
      </c>
      <c r="D162" s="19">
        <v>4</v>
      </c>
      <c r="E162" s="19">
        <f t="shared" si="4"/>
        <v>4</v>
      </c>
      <c r="F162" s="21">
        <f t="shared" si="5"/>
        <v>1.3559322033898305E-2</v>
      </c>
    </row>
    <row r="163" spans="1:6" x14ac:dyDescent="0.35">
      <c r="A163" s="22" t="s">
        <v>466</v>
      </c>
      <c r="B163" s="23">
        <v>0.04</v>
      </c>
      <c r="C163" s="22">
        <v>0</v>
      </c>
      <c r="D163" s="22">
        <v>12</v>
      </c>
      <c r="E163" s="22">
        <f t="shared" si="4"/>
        <v>12</v>
      </c>
      <c r="F163" s="24">
        <f t="shared" si="5"/>
        <v>4.0816326530612242E-2</v>
      </c>
    </row>
    <row r="164" spans="1:6" x14ac:dyDescent="0.35">
      <c r="A164" s="19" t="s">
        <v>466</v>
      </c>
      <c r="B164" s="20">
        <v>5.5E-2</v>
      </c>
      <c r="C164" s="19">
        <v>0</v>
      </c>
      <c r="D164" s="19">
        <v>7</v>
      </c>
      <c r="E164" s="19">
        <f t="shared" si="4"/>
        <v>7</v>
      </c>
      <c r="F164" s="21">
        <f t="shared" si="5"/>
        <v>2.3809523809523808E-2</v>
      </c>
    </row>
    <row r="165" spans="1:6" x14ac:dyDescent="0.35">
      <c r="A165" s="19" t="s">
        <v>466</v>
      </c>
      <c r="B165" s="20">
        <v>0.06</v>
      </c>
      <c r="C165" s="19">
        <v>0</v>
      </c>
      <c r="D165" s="19">
        <v>3</v>
      </c>
      <c r="E165" s="19">
        <f t="shared" si="4"/>
        <v>3</v>
      </c>
      <c r="F165" s="21">
        <f t="shared" si="5"/>
        <v>1.020408163265306E-2</v>
      </c>
    </row>
    <row r="166" spans="1:6" x14ac:dyDescent="0.35">
      <c r="A166" s="19" t="s">
        <v>466</v>
      </c>
      <c r="B166" s="20">
        <v>7.0000000000000007E-2</v>
      </c>
      <c r="C166" s="19">
        <v>0</v>
      </c>
      <c r="D166" s="19">
        <v>17</v>
      </c>
      <c r="E166" s="19">
        <f t="shared" si="4"/>
        <v>17</v>
      </c>
      <c r="F166" s="21">
        <f t="shared" si="5"/>
        <v>5.7823129251700682E-2</v>
      </c>
    </row>
    <row r="167" spans="1:6" x14ac:dyDescent="0.35">
      <c r="A167" s="19" t="s">
        <v>466</v>
      </c>
      <c r="B167" s="20">
        <v>8.5000000000000006E-2</v>
      </c>
      <c r="C167" s="19">
        <v>0</v>
      </c>
      <c r="D167" s="19">
        <v>2</v>
      </c>
      <c r="E167" s="19">
        <f t="shared" si="4"/>
        <v>2</v>
      </c>
      <c r="F167" s="21">
        <f t="shared" si="5"/>
        <v>6.8027210884353739E-3</v>
      </c>
    </row>
    <row r="168" spans="1:6" x14ac:dyDescent="0.35">
      <c r="A168" s="19" t="s">
        <v>466</v>
      </c>
      <c r="B168" s="20">
        <v>9.8799999999999999E-2</v>
      </c>
      <c r="C168" s="19">
        <v>0</v>
      </c>
      <c r="D168" s="19">
        <v>1</v>
      </c>
      <c r="E168" s="19">
        <f t="shared" si="4"/>
        <v>1</v>
      </c>
      <c r="F168" s="21">
        <f t="shared" si="5"/>
        <v>3.4013605442176869E-3</v>
      </c>
    </row>
    <row r="169" spans="1:6" x14ac:dyDescent="0.35">
      <c r="A169" s="19" t="s">
        <v>466</v>
      </c>
      <c r="B169" s="20">
        <v>0.105</v>
      </c>
      <c r="C169" s="19">
        <v>0</v>
      </c>
      <c r="D169" s="19">
        <v>1</v>
      </c>
      <c r="E169" s="19">
        <f t="shared" si="4"/>
        <v>1</v>
      </c>
      <c r="F169" s="21">
        <f t="shared" si="5"/>
        <v>3.4013605442176869E-3</v>
      </c>
    </row>
    <row r="170" spans="1:6" x14ac:dyDescent="0.35">
      <c r="A170" s="19" t="s">
        <v>466</v>
      </c>
      <c r="B170" s="20">
        <v>0.115</v>
      </c>
      <c r="C170" s="19">
        <v>0</v>
      </c>
      <c r="D170" s="19">
        <v>1</v>
      </c>
      <c r="E170" s="19">
        <f t="shared" si="4"/>
        <v>1</v>
      </c>
      <c r="F170" s="21">
        <f t="shared" si="5"/>
        <v>3.4013605442176869E-3</v>
      </c>
    </row>
    <row r="171" spans="1:6" x14ac:dyDescent="0.35">
      <c r="A171" s="19" t="s">
        <v>466</v>
      </c>
      <c r="B171" s="20">
        <v>0.125</v>
      </c>
      <c r="C171" s="19">
        <v>0</v>
      </c>
      <c r="D171" s="19">
        <v>1</v>
      </c>
      <c r="E171" s="19">
        <f t="shared" si="4"/>
        <v>1</v>
      </c>
      <c r="F171" s="21">
        <f t="shared" si="5"/>
        <v>3.4013605442176869E-3</v>
      </c>
    </row>
    <row r="172" spans="1:6" x14ac:dyDescent="0.35">
      <c r="A172" s="19" t="s">
        <v>466</v>
      </c>
      <c r="B172" s="20">
        <v>0.127</v>
      </c>
      <c r="C172" s="19">
        <v>0</v>
      </c>
      <c r="D172" s="19">
        <v>1</v>
      </c>
      <c r="E172" s="19">
        <f t="shared" si="4"/>
        <v>1</v>
      </c>
      <c r="F172" s="21">
        <f t="shared" si="5"/>
        <v>3.4013605442176869E-3</v>
      </c>
    </row>
    <row r="173" spans="1:6" x14ac:dyDescent="0.35">
      <c r="A173" s="19" t="s">
        <v>466</v>
      </c>
      <c r="B173" s="20">
        <v>0.1389</v>
      </c>
      <c r="C173" s="19">
        <v>0</v>
      </c>
      <c r="D173" s="19">
        <v>2</v>
      </c>
      <c r="E173" s="19">
        <f t="shared" si="4"/>
        <v>2</v>
      </c>
      <c r="F173" s="21">
        <f t="shared" si="5"/>
        <v>6.8027210884353739E-3</v>
      </c>
    </row>
    <row r="174" spans="1:6" x14ac:dyDescent="0.35">
      <c r="A174" s="19" t="s">
        <v>466</v>
      </c>
      <c r="B174" s="20">
        <v>0.14430000000000001</v>
      </c>
      <c r="C174" s="19">
        <v>0</v>
      </c>
      <c r="D174" s="19">
        <v>1</v>
      </c>
      <c r="E174" s="19">
        <f t="shared" si="4"/>
        <v>1</v>
      </c>
      <c r="F174" s="21">
        <f t="shared" si="5"/>
        <v>3.4013605442176869E-3</v>
      </c>
    </row>
    <row r="175" spans="1:6" x14ac:dyDescent="0.35">
      <c r="A175" s="19" t="s">
        <v>466</v>
      </c>
      <c r="B175" s="20">
        <v>0.15</v>
      </c>
      <c r="C175" s="19">
        <v>2</v>
      </c>
      <c r="D175" s="19">
        <v>0</v>
      </c>
      <c r="E175" s="19">
        <f t="shared" si="4"/>
        <v>2</v>
      </c>
      <c r="F175" s="21">
        <f t="shared" si="5"/>
        <v>6.8027210884353739E-3</v>
      </c>
    </row>
    <row r="176" spans="1:6" x14ac:dyDescent="0.35">
      <c r="A176" s="19" t="s">
        <v>466</v>
      </c>
      <c r="B176" s="20">
        <v>0.15110000000000001</v>
      </c>
      <c r="C176" s="19">
        <v>0</v>
      </c>
      <c r="D176" s="19">
        <v>3</v>
      </c>
      <c r="E176" s="19">
        <f t="shared" si="4"/>
        <v>3</v>
      </c>
      <c r="F176" s="21">
        <f t="shared" si="5"/>
        <v>1.020408163265306E-2</v>
      </c>
    </row>
    <row r="177" spans="1:6" x14ac:dyDescent="0.35">
      <c r="A177" s="19" t="s">
        <v>466</v>
      </c>
      <c r="B177" s="20">
        <v>0.15240000000000001</v>
      </c>
      <c r="C177" s="19">
        <v>1</v>
      </c>
      <c r="D177" s="19">
        <v>0</v>
      </c>
      <c r="E177" s="19">
        <f t="shared" si="4"/>
        <v>1</v>
      </c>
      <c r="F177" s="21">
        <f t="shared" si="5"/>
        <v>3.4013605442176869E-3</v>
      </c>
    </row>
    <row r="178" spans="1:6" x14ac:dyDescent="0.35">
      <c r="A178" s="19" t="s">
        <v>466</v>
      </c>
      <c r="B178" s="20">
        <v>0.1525</v>
      </c>
      <c r="C178" s="19">
        <v>2</v>
      </c>
      <c r="D178" s="19">
        <v>0</v>
      </c>
      <c r="E178" s="19">
        <f t="shared" si="4"/>
        <v>2</v>
      </c>
      <c r="F178" s="21">
        <f t="shared" si="5"/>
        <v>6.8027210884353739E-3</v>
      </c>
    </row>
    <row r="179" spans="1:6" x14ac:dyDescent="0.35">
      <c r="A179" s="19" t="s">
        <v>466</v>
      </c>
      <c r="B179" s="20">
        <v>0.15490000000000001</v>
      </c>
      <c r="C179" s="19">
        <v>6</v>
      </c>
      <c r="D179" s="19">
        <v>0</v>
      </c>
      <c r="E179" s="19">
        <f t="shared" si="4"/>
        <v>6</v>
      </c>
      <c r="F179" s="21">
        <f t="shared" si="5"/>
        <v>2.0408163265306121E-2</v>
      </c>
    </row>
    <row r="180" spans="1:6" x14ac:dyDescent="0.35">
      <c r="A180" s="19" t="s">
        <v>466</v>
      </c>
      <c r="B180" s="20">
        <v>0.155</v>
      </c>
      <c r="C180" s="19">
        <v>1</v>
      </c>
      <c r="D180" s="19">
        <v>0</v>
      </c>
      <c r="E180" s="19">
        <f t="shared" si="4"/>
        <v>1</v>
      </c>
      <c r="F180" s="21">
        <f t="shared" si="5"/>
        <v>3.4013605442176869E-3</v>
      </c>
    </row>
    <row r="181" spans="1:6" x14ac:dyDescent="0.35">
      <c r="A181" s="19" t="s">
        <v>466</v>
      </c>
      <c r="B181" s="20">
        <v>0.1555</v>
      </c>
      <c r="C181" s="19">
        <v>0</v>
      </c>
      <c r="D181" s="19">
        <v>1</v>
      </c>
      <c r="E181" s="19">
        <f t="shared" si="4"/>
        <v>1</v>
      </c>
      <c r="F181" s="21">
        <f t="shared" si="5"/>
        <v>3.4013605442176869E-3</v>
      </c>
    </row>
    <row r="182" spans="1:6" x14ac:dyDescent="0.35">
      <c r="A182" s="19" t="s">
        <v>466</v>
      </c>
      <c r="B182" s="20">
        <v>0.15740000000000001</v>
      </c>
      <c r="C182" s="19">
        <v>16</v>
      </c>
      <c r="D182" s="19">
        <v>0</v>
      </c>
      <c r="E182" s="19">
        <f t="shared" si="4"/>
        <v>16</v>
      </c>
      <c r="F182" s="21">
        <f t="shared" si="5"/>
        <v>5.4421768707482991E-2</v>
      </c>
    </row>
    <row r="183" spans="1:6" x14ac:dyDescent="0.35">
      <c r="A183" s="19" t="s">
        <v>466</v>
      </c>
      <c r="B183" s="20">
        <v>0.1575</v>
      </c>
      <c r="C183" s="19">
        <v>2</v>
      </c>
      <c r="D183" s="19">
        <v>1</v>
      </c>
      <c r="E183" s="19">
        <f t="shared" si="4"/>
        <v>3</v>
      </c>
      <c r="F183" s="21">
        <f t="shared" si="5"/>
        <v>1.020408163265306E-2</v>
      </c>
    </row>
    <row r="184" spans="1:6" x14ac:dyDescent="0.35">
      <c r="A184" s="19" t="s">
        <v>466</v>
      </c>
      <c r="B184" s="20">
        <v>0.15989999999999999</v>
      </c>
      <c r="C184" s="19">
        <v>4</v>
      </c>
      <c r="D184" s="19">
        <v>2</v>
      </c>
      <c r="E184" s="19">
        <f t="shared" si="4"/>
        <v>6</v>
      </c>
      <c r="F184" s="21">
        <f t="shared" si="5"/>
        <v>2.0408163265306121E-2</v>
      </c>
    </row>
    <row r="185" spans="1:6" x14ac:dyDescent="0.35">
      <c r="A185" s="19" t="s">
        <v>466</v>
      </c>
      <c r="B185" s="20">
        <v>0.16</v>
      </c>
      <c r="C185" s="19">
        <v>3</v>
      </c>
      <c r="D185" s="19">
        <v>0</v>
      </c>
      <c r="E185" s="19">
        <f t="shared" si="4"/>
        <v>3</v>
      </c>
      <c r="F185" s="21">
        <f t="shared" si="5"/>
        <v>1.020408163265306E-2</v>
      </c>
    </row>
    <row r="186" spans="1:6" x14ac:dyDescent="0.35">
      <c r="A186" s="19" t="s">
        <v>466</v>
      </c>
      <c r="B186" s="20">
        <v>0.16239999999999999</v>
      </c>
      <c r="C186" s="19">
        <v>30</v>
      </c>
      <c r="D186" s="19">
        <v>0</v>
      </c>
      <c r="E186" s="19">
        <f t="shared" si="4"/>
        <v>30</v>
      </c>
      <c r="F186" s="21">
        <f t="shared" si="5"/>
        <v>0.10204081632653061</v>
      </c>
    </row>
    <row r="187" spans="1:6" x14ac:dyDescent="0.35">
      <c r="A187" s="19" t="s">
        <v>466</v>
      </c>
      <c r="B187" s="20">
        <v>0.16250000000000001</v>
      </c>
      <c r="C187" s="19">
        <v>7</v>
      </c>
      <c r="D187" s="19">
        <v>0</v>
      </c>
      <c r="E187" s="19">
        <f t="shared" si="4"/>
        <v>7</v>
      </c>
      <c r="F187" s="21">
        <f t="shared" si="5"/>
        <v>2.3809523809523808E-2</v>
      </c>
    </row>
    <row r="188" spans="1:6" x14ac:dyDescent="0.35">
      <c r="A188" s="19" t="s">
        <v>466</v>
      </c>
      <c r="B188" s="20">
        <v>0.16489999999999999</v>
      </c>
      <c r="C188" s="19">
        <v>12</v>
      </c>
      <c r="D188" s="19">
        <v>0</v>
      </c>
      <c r="E188" s="19">
        <f t="shared" si="4"/>
        <v>12</v>
      </c>
      <c r="F188" s="21">
        <f t="shared" si="5"/>
        <v>4.0816326530612242E-2</v>
      </c>
    </row>
    <row r="189" spans="1:6" x14ac:dyDescent="0.35">
      <c r="A189" s="19" t="s">
        <v>466</v>
      </c>
      <c r="B189" s="20">
        <v>0.16500000000000001</v>
      </c>
      <c r="C189" s="19">
        <v>10</v>
      </c>
      <c r="D189" s="19">
        <v>12</v>
      </c>
      <c r="E189" s="19">
        <f t="shared" si="4"/>
        <v>22</v>
      </c>
      <c r="F189" s="21">
        <f t="shared" si="5"/>
        <v>7.4829931972789115E-2</v>
      </c>
    </row>
    <row r="190" spans="1:6" x14ac:dyDescent="0.35">
      <c r="A190" s="19" t="s">
        <v>466</v>
      </c>
      <c r="B190" s="20">
        <v>0.16739999999999999</v>
      </c>
      <c r="C190" s="19">
        <v>9</v>
      </c>
      <c r="D190" s="19">
        <v>0</v>
      </c>
      <c r="E190" s="19">
        <f t="shared" si="4"/>
        <v>9</v>
      </c>
      <c r="F190" s="21">
        <f t="shared" si="5"/>
        <v>3.0612244897959183E-2</v>
      </c>
    </row>
    <row r="191" spans="1:6" x14ac:dyDescent="0.35">
      <c r="A191" s="19" t="s">
        <v>466</v>
      </c>
      <c r="B191" s="20">
        <v>0.16750000000000001</v>
      </c>
      <c r="C191" s="19">
        <v>9</v>
      </c>
      <c r="D191" s="19">
        <v>2</v>
      </c>
      <c r="E191" s="19">
        <f t="shared" si="4"/>
        <v>11</v>
      </c>
      <c r="F191" s="21">
        <f t="shared" si="5"/>
        <v>3.7414965986394558E-2</v>
      </c>
    </row>
    <row r="192" spans="1:6" x14ac:dyDescent="0.35">
      <c r="A192" s="19" t="s">
        <v>466</v>
      </c>
      <c r="B192" s="20">
        <v>0.1699</v>
      </c>
      <c r="C192" s="19">
        <v>8</v>
      </c>
      <c r="D192" s="19">
        <v>3</v>
      </c>
      <c r="E192" s="19">
        <f t="shared" si="4"/>
        <v>11</v>
      </c>
      <c r="F192" s="21">
        <f t="shared" si="5"/>
        <v>3.7414965986394558E-2</v>
      </c>
    </row>
    <row r="193" spans="1:6" x14ac:dyDescent="0.35">
      <c r="A193" s="19" t="s">
        <v>466</v>
      </c>
      <c r="B193" s="20">
        <v>0.17</v>
      </c>
      <c r="C193" s="19">
        <v>17</v>
      </c>
      <c r="D193" s="19">
        <v>3</v>
      </c>
      <c r="E193" s="19">
        <f t="shared" si="4"/>
        <v>20</v>
      </c>
      <c r="F193" s="21">
        <f t="shared" si="5"/>
        <v>6.8027210884353748E-2</v>
      </c>
    </row>
    <row r="194" spans="1:6" x14ac:dyDescent="0.35">
      <c r="A194" s="19" t="s">
        <v>466</v>
      </c>
      <c r="B194" s="20">
        <v>0.17050000000000001</v>
      </c>
      <c r="C194" s="19">
        <v>0</v>
      </c>
      <c r="D194" s="19">
        <v>1</v>
      </c>
      <c r="E194" s="19">
        <f t="shared" ref="E194:E257" si="6">C194+D194</f>
        <v>1</v>
      </c>
      <c r="F194" s="21">
        <f t="shared" ref="F194:F257" si="7">E194/SUMIFS($E$2:$E$303,$A$2:$A$303,A194)</f>
        <v>3.4013605442176869E-3</v>
      </c>
    </row>
    <row r="195" spans="1:6" x14ac:dyDescent="0.35">
      <c r="A195" s="19" t="s">
        <v>466</v>
      </c>
      <c r="B195" s="20">
        <v>0.1724</v>
      </c>
      <c r="C195" s="19">
        <v>18</v>
      </c>
      <c r="D195" s="19">
        <v>0</v>
      </c>
      <c r="E195" s="19">
        <f t="shared" si="6"/>
        <v>18</v>
      </c>
      <c r="F195" s="21">
        <f t="shared" si="7"/>
        <v>6.1224489795918366E-2</v>
      </c>
    </row>
    <row r="196" spans="1:6" x14ac:dyDescent="0.35">
      <c r="A196" s="19" t="s">
        <v>466</v>
      </c>
      <c r="B196" s="20">
        <v>0.17249999999999999</v>
      </c>
      <c r="C196" s="19">
        <v>16</v>
      </c>
      <c r="D196" s="19">
        <v>8</v>
      </c>
      <c r="E196" s="19">
        <f t="shared" si="6"/>
        <v>24</v>
      </c>
      <c r="F196" s="21">
        <f t="shared" si="7"/>
        <v>8.1632653061224483E-2</v>
      </c>
    </row>
    <row r="197" spans="1:6" x14ac:dyDescent="0.35">
      <c r="A197" s="19" t="s">
        <v>466</v>
      </c>
      <c r="B197" s="20">
        <v>0.1749</v>
      </c>
      <c r="C197" s="19">
        <v>13</v>
      </c>
      <c r="D197" s="19">
        <v>0</v>
      </c>
      <c r="E197" s="19">
        <f t="shared" si="6"/>
        <v>13</v>
      </c>
      <c r="F197" s="21">
        <f t="shared" si="7"/>
        <v>4.4217687074829932E-2</v>
      </c>
    </row>
    <row r="198" spans="1:6" x14ac:dyDescent="0.35">
      <c r="A198" s="19" t="s">
        <v>466</v>
      </c>
      <c r="B198" s="20">
        <v>0.17499999999999999</v>
      </c>
      <c r="C198" s="19">
        <v>0</v>
      </c>
      <c r="D198" s="19">
        <v>13</v>
      </c>
      <c r="E198" s="19">
        <f t="shared" si="6"/>
        <v>13</v>
      </c>
      <c r="F198" s="21">
        <f t="shared" si="7"/>
        <v>4.4217687074829932E-2</v>
      </c>
    </row>
    <row r="199" spans="1:6" ht="15.6" thickBot="1" x14ac:dyDescent="0.4">
      <c r="A199" s="19" t="s">
        <v>466</v>
      </c>
      <c r="B199" s="20">
        <v>0.17749999999999999</v>
      </c>
      <c r="C199" s="19">
        <v>0</v>
      </c>
      <c r="D199" s="19">
        <v>10</v>
      </c>
      <c r="E199" s="19">
        <f t="shared" si="6"/>
        <v>10</v>
      </c>
      <c r="F199" s="21">
        <f t="shared" si="7"/>
        <v>3.4013605442176874E-2</v>
      </c>
    </row>
    <row r="200" spans="1:6" x14ac:dyDescent="0.35">
      <c r="A200" s="22" t="s">
        <v>467</v>
      </c>
      <c r="B200" s="23">
        <v>0.04</v>
      </c>
      <c r="C200" s="22">
        <v>0</v>
      </c>
      <c r="D200" s="22">
        <v>25</v>
      </c>
      <c r="E200" s="22">
        <f t="shared" si="6"/>
        <v>25</v>
      </c>
      <c r="F200" s="24">
        <f t="shared" si="7"/>
        <v>7.3529411764705885E-2</v>
      </c>
    </row>
    <row r="201" spans="1:6" x14ac:dyDescent="0.35">
      <c r="A201" s="19" t="s">
        <v>467</v>
      </c>
      <c r="B201" s="20">
        <v>5.5E-2</v>
      </c>
      <c r="C201" s="19">
        <v>0</v>
      </c>
      <c r="D201" s="19">
        <v>3</v>
      </c>
      <c r="E201" s="19">
        <f t="shared" si="6"/>
        <v>3</v>
      </c>
      <c r="F201" s="21">
        <f t="shared" si="7"/>
        <v>8.8235294117647058E-3</v>
      </c>
    </row>
    <row r="202" spans="1:6" x14ac:dyDescent="0.35">
      <c r="A202" s="19" t="s">
        <v>467</v>
      </c>
      <c r="B202" s="20">
        <v>0.06</v>
      </c>
      <c r="C202" s="19">
        <v>0</v>
      </c>
      <c r="D202" s="19">
        <v>2</v>
      </c>
      <c r="E202" s="19">
        <f t="shared" si="6"/>
        <v>2</v>
      </c>
      <c r="F202" s="21">
        <f t="shared" si="7"/>
        <v>5.8823529411764705E-3</v>
      </c>
    </row>
    <row r="203" spans="1:6" x14ac:dyDescent="0.35">
      <c r="A203" s="19" t="s">
        <v>467</v>
      </c>
      <c r="B203" s="20">
        <v>7.0000000000000007E-2</v>
      </c>
      <c r="C203" s="19">
        <v>0</v>
      </c>
      <c r="D203" s="19">
        <v>15</v>
      </c>
      <c r="E203" s="19">
        <f t="shared" si="6"/>
        <v>15</v>
      </c>
      <c r="F203" s="21">
        <f t="shared" si="7"/>
        <v>4.4117647058823532E-2</v>
      </c>
    </row>
    <row r="204" spans="1:6" x14ac:dyDescent="0.35">
      <c r="A204" s="19" t="s">
        <v>467</v>
      </c>
      <c r="B204" s="20">
        <v>0.08</v>
      </c>
      <c r="C204" s="19">
        <v>0</v>
      </c>
      <c r="D204" s="19">
        <v>1</v>
      </c>
      <c r="E204" s="19">
        <f t="shared" si="6"/>
        <v>1</v>
      </c>
      <c r="F204" s="21">
        <f t="shared" si="7"/>
        <v>2.9411764705882353E-3</v>
      </c>
    </row>
    <row r="205" spans="1:6" x14ac:dyDescent="0.35">
      <c r="A205" s="19" t="s">
        <v>467</v>
      </c>
      <c r="B205" s="20">
        <v>8.5000000000000006E-2</v>
      </c>
      <c r="C205" s="19">
        <v>0</v>
      </c>
      <c r="D205" s="19">
        <v>4</v>
      </c>
      <c r="E205" s="19">
        <f t="shared" si="6"/>
        <v>4</v>
      </c>
      <c r="F205" s="21">
        <f t="shared" si="7"/>
        <v>1.1764705882352941E-2</v>
      </c>
    </row>
    <row r="206" spans="1:6" x14ac:dyDescent="0.35">
      <c r="A206" s="19" t="s">
        <v>467</v>
      </c>
      <c r="B206" s="20">
        <v>9.8799999999999999E-2</v>
      </c>
      <c r="C206" s="19">
        <v>0</v>
      </c>
      <c r="D206" s="19">
        <v>1</v>
      </c>
      <c r="E206" s="19">
        <f t="shared" si="6"/>
        <v>1</v>
      </c>
      <c r="F206" s="21">
        <f t="shared" si="7"/>
        <v>2.9411764705882353E-3</v>
      </c>
    </row>
    <row r="207" spans="1:6" x14ac:dyDescent="0.35">
      <c r="A207" s="19" t="s">
        <v>467</v>
      </c>
      <c r="B207" s="20">
        <v>0.10050000000000001</v>
      </c>
      <c r="C207" s="19">
        <v>0</v>
      </c>
      <c r="D207" s="19">
        <v>1</v>
      </c>
      <c r="E207" s="19">
        <f t="shared" si="6"/>
        <v>1</v>
      </c>
      <c r="F207" s="21">
        <f t="shared" si="7"/>
        <v>2.9411764705882353E-3</v>
      </c>
    </row>
    <row r="208" spans="1:6" x14ac:dyDescent="0.35">
      <c r="A208" s="19" t="s">
        <v>467</v>
      </c>
      <c r="B208" s="20">
        <v>0.11</v>
      </c>
      <c r="C208" s="19">
        <v>0</v>
      </c>
      <c r="D208" s="19">
        <v>2</v>
      </c>
      <c r="E208" s="19">
        <f t="shared" si="6"/>
        <v>2</v>
      </c>
      <c r="F208" s="21">
        <f t="shared" si="7"/>
        <v>5.8823529411764705E-3</v>
      </c>
    </row>
    <row r="209" spans="1:6" x14ac:dyDescent="0.35">
      <c r="A209" s="19" t="s">
        <v>467</v>
      </c>
      <c r="B209" s="20">
        <v>0.115</v>
      </c>
      <c r="C209" s="19">
        <v>0</v>
      </c>
      <c r="D209" s="19">
        <v>1</v>
      </c>
      <c r="E209" s="19">
        <f t="shared" si="6"/>
        <v>1</v>
      </c>
      <c r="F209" s="21">
        <f t="shared" si="7"/>
        <v>2.9411764705882353E-3</v>
      </c>
    </row>
    <row r="210" spans="1:6" x14ac:dyDescent="0.35">
      <c r="A210" s="19" t="s">
        <v>467</v>
      </c>
      <c r="B210" s="20">
        <v>0.11749999999999999</v>
      </c>
      <c r="C210" s="19">
        <v>0</v>
      </c>
      <c r="D210" s="19">
        <v>1</v>
      </c>
      <c r="E210" s="19">
        <f t="shared" si="6"/>
        <v>1</v>
      </c>
      <c r="F210" s="21">
        <f t="shared" si="7"/>
        <v>2.9411764705882353E-3</v>
      </c>
    </row>
    <row r="211" spans="1:6" x14ac:dyDescent="0.35">
      <c r="A211" s="19" t="s">
        <v>467</v>
      </c>
      <c r="B211" s="20">
        <v>0.121</v>
      </c>
      <c r="C211" s="19">
        <v>0</v>
      </c>
      <c r="D211" s="19">
        <v>2</v>
      </c>
      <c r="E211" s="19">
        <f t="shared" si="6"/>
        <v>2</v>
      </c>
      <c r="F211" s="21">
        <f t="shared" si="7"/>
        <v>5.8823529411764705E-3</v>
      </c>
    </row>
    <row r="212" spans="1:6" x14ac:dyDescent="0.35">
      <c r="A212" s="19" t="s">
        <v>467</v>
      </c>
      <c r="B212" s="20">
        <v>0.12139999999999999</v>
      </c>
      <c r="C212" s="19">
        <v>0</v>
      </c>
      <c r="D212" s="19">
        <v>1</v>
      </c>
      <c r="E212" s="19">
        <f t="shared" si="6"/>
        <v>1</v>
      </c>
      <c r="F212" s="21">
        <f t="shared" si="7"/>
        <v>2.9411764705882353E-3</v>
      </c>
    </row>
    <row r="213" spans="1:6" x14ac:dyDescent="0.35">
      <c r="A213" s="19" t="s">
        <v>467</v>
      </c>
      <c r="B213" s="20">
        <v>0.13639999999999999</v>
      </c>
      <c r="C213" s="19">
        <v>0</v>
      </c>
      <c r="D213" s="19">
        <v>1</v>
      </c>
      <c r="E213" s="19">
        <f t="shared" si="6"/>
        <v>1</v>
      </c>
      <c r="F213" s="21">
        <f t="shared" si="7"/>
        <v>2.9411764705882353E-3</v>
      </c>
    </row>
    <row r="214" spans="1:6" x14ac:dyDescent="0.35">
      <c r="A214" s="19" t="s">
        <v>467</v>
      </c>
      <c r="B214" s="20">
        <v>0.1389</v>
      </c>
      <c r="C214" s="19">
        <v>0</v>
      </c>
      <c r="D214" s="19">
        <v>1</v>
      </c>
      <c r="E214" s="19">
        <f t="shared" si="6"/>
        <v>1</v>
      </c>
      <c r="F214" s="21">
        <f t="shared" si="7"/>
        <v>2.9411764705882353E-3</v>
      </c>
    </row>
    <row r="215" spans="1:6" x14ac:dyDescent="0.35">
      <c r="A215" s="19" t="s">
        <v>467</v>
      </c>
      <c r="B215" s="20">
        <v>0.14249999999999999</v>
      </c>
      <c r="C215" s="19">
        <v>2</v>
      </c>
      <c r="D215" s="19">
        <v>0</v>
      </c>
      <c r="E215" s="19">
        <f t="shared" si="6"/>
        <v>2</v>
      </c>
      <c r="F215" s="21">
        <f t="shared" si="7"/>
        <v>5.8823529411764705E-3</v>
      </c>
    </row>
    <row r="216" spans="1:6" x14ac:dyDescent="0.35">
      <c r="A216" s="19" t="s">
        <v>467</v>
      </c>
      <c r="B216" s="20">
        <v>0.14499999999999999</v>
      </c>
      <c r="C216" s="19">
        <v>2</v>
      </c>
      <c r="D216" s="19">
        <v>0</v>
      </c>
      <c r="E216" s="19">
        <f t="shared" si="6"/>
        <v>2</v>
      </c>
      <c r="F216" s="21">
        <f t="shared" si="7"/>
        <v>5.8823529411764705E-3</v>
      </c>
    </row>
    <row r="217" spans="1:6" x14ac:dyDescent="0.35">
      <c r="A217" s="19" t="s">
        <v>467</v>
      </c>
      <c r="B217" s="20">
        <v>0.14749999999999999</v>
      </c>
      <c r="C217" s="19">
        <v>2</v>
      </c>
      <c r="D217" s="19">
        <v>0</v>
      </c>
      <c r="E217" s="19">
        <f t="shared" si="6"/>
        <v>2</v>
      </c>
      <c r="F217" s="21">
        <f t="shared" si="7"/>
        <v>5.8823529411764705E-3</v>
      </c>
    </row>
    <row r="218" spans="1:6" x14ac:dyDescent="0.35">
      <c r="A218" s="19" t="s">
        <v>467</v>
      </c>
      <c r="B218" s="20">
        <v>0.14799999999999999</v>
      </c>
      <c r="C218" s="19">
        <v>0</v>
      </c>
      <c r="D218" s="19">
        <v>1</v>
      </c>
      <c r="E218" s="19">
        <f t="shared" si="6"/>
        <v>1</v>
      </c>
      <c r="F218" s="21">
        <f t="shared" si="7"/>
        <v>2.9411764705882353E-3</v>
      </c>
    </row>
    <row r="219" spans="1:6" x14ac:dyDescent="0.35">
      <c r="A219" s="19" t="s">
        <v>467</v>
      </c>
      <c r="B219" s="20">
        <v>0.14990000000000001</v>
      </c>
      <c r="C219" s="19">
        <v>14</v>
      </c>
      <c r="D219" s="19">
        <v>0</v>
      </c>
      <c r="E219" s="19">
        <f t="shared" si="6"/>
        <v>14</v>
      </c>
      <c r="F219" s="21">
        <f t="shared" si="7"/>
        <v>4.1176470588235294E-2</v>
      </c>
    </row>
    <row r="220" spans="1:6" x14ac:dyDescent="0.35">
      <c r="A220" s="19" t="s">
        <v>467</v>
      </c>
      <c r="B220" s="20">
        <v>0.15</v>
      </c>
      <c r="C220" s="19">
        <v>1</v>
      </c>
      <c r="D220" s="19">
        <v>2</v>
      </c>
      <c r="E220" s="19">
        <f t="shared" si="6"/>
        <v>3</v>
      </c>
      <c r="F220" s="21">
        <f t="shared" si="7"/>
        <v>8.8235294117647058E-3</v>
      </c>
    </row>
    <row r="221" spans="1:6" x14ac:dyDescent="0.35">
      <c r="A221" s="19" t="s">
        <v>467</v>
      </c>
      <c r="B221" s="20">
        <v>0.15110000000000001</v>
      </c>
      <c r="C221" s="19">
        <v>0</v>
      </c>
      <c r="D221" s="19">
        <v>2</v>
      </c>
      <c r="E221" s="19">
        <f t="shared" si="6"/>
        <v>2</v>
      </c>
      <c r="F221" s="21">
        <f t="shared" si="7"/>
        <v>5.8823529411764705E-3</v>
      </c>
    </row>
    <row r="222" spans="1:6" x14ac:dyDescent="0.35">
      <c r="A222" s="19" t="s">
        <v>467</v>
      </c>
      <c r="B222" s="20">
        <v>0.1515</v>
      </c>
      <c r="C222" s="19">
        <v>0</v>
      </c>
      <c r="D222" s="19">
        <v>1</v>
      </c>
      <c r="E222" s="19">
        <f t="shared" si="6"/>
        <v>1</v>
      </c>
      <c r="F222" s="21">
        <f t="shared" si="7"/>
        <v>2.9411764705882353E-3</v>
      </c>
    </row>
    <row r="223" spans="1:6" x14ac:dyDescent="0.35">
      <c r="A223" s="19" t="s">
        <v>467</v>
      </c>
      <c r="B223" s="20">
        <v>0.1525</v>
      </c>
      <c r="C223" s="19">
        <v>2</v>
      </c>
      <c r="D223" s="19">
        <v>0</v>
      </c>
      <c r="E223" s="19">
        <f t="shared" si="6"/>
        <v>2</v>
      </c>
      <c r="F223" s="21">
        <f t="shared" si="7"/>
        <v>5.8823529411764705E-3</v>
      </c>
    </row>
    <row r="224" spans="1:6" x14ac:dyDescent="0.35">
      <c r="A224" s="19" t="s">
        <v>467</v>
      </c>
      <c r="B224" s="20">
        <v>0.15490000000000001</v>
      </c>
      <c r="C224" s="19">
        <v>18</v>
      </c>
      <c r="D224" s="19">
        <v>0</v>
      </c>
      <c r="E224" s="19">
        <f t="shared" si="6"/>
        <v>18</v>
      </c>
      <c r="F224" s="21">
        <f t="shared" si="7"/>
        <v>5.2941176470588235E-2</v>
      </c>
    </row>
    <row r="225" spans="1:6" x14ac:dyDescent="0.35">
      <c r="A225" s="19" t="s">
        <v>467</v>
      </c>
      <c r="B225" s="20">
        <v>0.155</v>
      </c>
      <c r="C225" s="19">
        <v>2</v>
      </c>
      <c r="D225" s="19">
        <v>1</v>
      </c>
      <c r="E225" s="19">
        <f t="shared" si="6"/>
        <v>3</v>
      </c>
      <c r="F225" s="21">
        <f t="shared" si="7"/>
        <v>8.8235294117647058E-3</v>
      </c>
    </row>
    <row r="226" spans="1:6" x14ac:dyDescent="0.35">
      <c r="A226" s="19" t="s">
        <v>467</v>
      </c>
      <c r="B226" s="20">
        <v>0.1555</v>
      </c>
      <c r="C226" s="19">
        <v>0</v>
      </c>
      <c r="D226" s="19">
        <v>2</v>
      </c>
      <c r="E226" s="19">
        <f t="shared" si="6"/>
        <v>2</v>
      </c>
      <c r="F226" s="21">
        <f t="shared" si="7"/>
        <v>5.8823529411764705E-3</v>
      </c>
    </row>
    <row r="227" spans="1:6" x14ac:dyDescent="0.35">
      <c r="A227" s="19" t="s">
        <v>467</v>
      </c>
      <c r="B227" s="20">
        <v>0.15740000000000001</v>
      </c>
      <c r="C227" s="19">
        <v>3</v>
      </c>
      <c r="D227" s="19">
        <v>0</v>
      </c>
      <c r="E227" s="19">
        <f t="shared" si="6"/>
        <v>3</v>
      </c>
      <c r="F227" s="21">
        <f t="shared" si="7"/>
        <v>8.8235294117647058E-3</v>
      </c>
    </row>
    <row r="228" spans="1:6" x14ac:dyDescent="0.35">
      <c r="A228" s="19" t="s">
        <v>467</v>
      </c>
      <c r="B228" s="20">
        <v>0.1575</v>
      </c>
      <c r="C228" s="19">
        <v>19</v>
      </c>
      <c r="D228" s="19">
        <v>3</v>
      </c>
      <c r="E228" s="19">
        <f t="shared" si="6"/>
        <v>22</v>
      </c>
      <c r="F228" s="21">
        <f t="shared" si="7"/>
        <v>6.4705882352941183E-2</v>
      </c>
    </row>
    <row r="229" spans="1:6" x14ac:dyDescent="0.35">
      <c r="A229" s="19" t="s">
        <v>467</v>
      </c>
      <c r="B229" s="20">
        <v>0.15989999999999999</v>
      </c>
      <c r="C229" s="19">
        <v>14</v>
      </c>
      <c r="D229" s="19">
        <v>1</v>
      </c>
      <c r="E229" s="19">
        <f t="shared" si="6"/>
        <v>15</v>
      </c>
      <c r="F229" s="21">
        <f t="shared" si="7"/>
        <v>4.4117647058823532E-2</v>
      </c>
    </row>
    <row r="230" spans="1:6" x14ac:dyDescent="0.35">
      <c r="A230" s="19" t="s">
        <v>467</v>
      </c>
      <c r="B230" s="20">
        <v>0.16</v>
      </c>
      <c r="C230" s="19">
        <v>2</v>
      </c>
      <c r="D230" s="19">
        <v>1</v>
      </c>
      <c r="E230" s="19">
        <f t="shared" si="6"/>
        <v>3</v>
      </c>
      <c r="F230" s="21">
        <f t="shared" si="7"/>
        <v>8.8235294117647058E-3</v>
      </c>
    </row>
    <row r="231" spans="1:6" x14ac:dyDescent="0.35">
      <c r="A231" s="19" t="s">
        <v>467</v>
      </c>
      <c r="B231" s="20">
        <v>0.16239999999999999</v>
      </c>
      <c r="C231" s="19">
        <v>29</v>
      </c>
      <c r="D231" s="19">
        <v>0</v>
      </c>
      <c r="E231" s="19">
        <f t="shared" si="6"/>
        <v>29</v>
      </c>
      <c r="F231" s="21">
        <f t="shared" si="7"/>
        <v>8.5294117647058826E-2</v>
      </c>
    </row>
    <row r="232" spans="1:6" x14ac:dyDescent="0.35">
      <c r="A232" s="19" t="s">
        <v>467</v>
      </c>
      <c r="B232" s="20">
        <v>0.16250000000000001</v>
      </c>
      <c r="C232" s="19">
        <v>12</v>
      </c>
      <c r="D232" s="19">
        <v>6</v>
      </c>
      <c r="E232" s="19">
        <f t="shared" si="6"/>
        <v>18</v>
      </c>
      <c r="F232" s="21">
        <f t="shared" si="7"/>
        <v>5.2941176470588235E-2</v>
      </c>
    </row>
    <row r="233" spans="1:6" x14ac:dyDescent="0.35">
      <c r="A233" s="19" t="s">
        <v>467</v>
      </c>
      <c r="B233" s="20">
        <v>0.16489999999999999</v>
      </c>
      <c r="C233" s="19">
        <v>11</v>
      </c>
      <c r="D233" s="19">
        <v>0</v>
      </c>
      <c r="E233" s="19">
        <f t="shared" si="6"/>
        <v>11</v>
      </c>
      <c r="F233" s="21">
        <f t="shared" si="7"/>
        <v>3.2352941176470591E-2</v>
      </c>
    </row>
    <row r="234" spans="1:6" x14ac:dyDescent="0.35">
      <c r="A234" s="19" t="s">
        <v>467</v>
      </c>
      <c r="B234" s="20">
        <v>0.16500000000000001</v>
      </c>
      <c r="C234" s="19">
        <v>3</v>
      </c>
      <c r="D234" s="19">
        <v>18</v>
      </c>
      <c r="E234" s="19">
        <f t="shared" si="6"/>
        <v>21</v>
      </c>
      <c r="F234" s="21">
        <f t="shared" si="7"/>
        <v>6.1764705882352944E-2</v>
      </c>
    </row>
    <row r="235" spans="1:6" x14ac:dyDescent="0.35">
      <c r="A235" s="19" t="s">
        <v>467</v>
      </c>
      <c r="B235" s="20">
        <v>0.16739999999999999</v>
      </c>
      <c r="C235" s="19">
        <v>4</v>
      </c>
      <c r="D235" s="19">
        <v>0</v>
      </c>
      <c r="E235" s="19">
        <f t="shared" si="6"/>
        <v>4</v>
      </c>
      <c r="F235" s="21">
        <f t="shared" si="7"/>
        <v>1.1764705882352941E-2</v>
      </c>
    </row>
    <row r="236" spans="1:6" x14ac:dyDescent="0.35">
      <c r="A236" s="19" t="s">
        <v>467</v>
      </c>
      <c r="B236" s="20">
        <v>0.16750000000000001</v>
      </c>
      <c r="C236" s="19">
        <v>4</v>
      </c>
      <c r="D236" s="19">
        <v>4</v>
      </c>
      <c r="E236" s="19">
        <f t="shared" si="6"/>
        <v>8</v>
      </c>
      <c r="F236" s="21">
        <f t="shared" si="7"/>
        <v>2.3529411764705882E-2</v>
      </c>
    </row>
    <row r="237" spans="1:6" x14ac:dyDescent="0.35">
      <c r="A237" s="19" t="s">
        <v>467</v>
      </c>
      <c r="B237" s="20">
        <v>0.1699</v>
      </c>
      <c r="C237" s="19">
        <v>3</v>
      </c>
      <c r="D237" s="19">
        <v>3</v>
      </c>
      <c r="E237" s="19">
        <f t="shared" si="6"/>
        <v>6</v>
      </c>
      <c r="F237" s="21">
        <f t="shared" si="7"/>
        <v>1.7647058823529412E-2</v>
      </c>
    </row>
    <row r="238" spans="1:6" x14ac:dyDescent="0.35">
      <c r="A238" s="19" t="s">
        <v>467</v>
      </c>
      <c r="B238" s="20">
        <v>0.17</v>
      </c>
      <c r="C238" s="19">
        <v>20</v>
      </c>
      <c r="D238" s="19">
        <v>3</v>
      </c>
      <c r="E238" s="19">
        <f t="shared" si="6"/>
        <v>23</v>
      </c>
      <c r="F238" s="21">
        <f t="shared" si="7"/>
        <v>6.7647058823529407E-2</v>
      </c>
    </row>
    <row r="239" spans="1:6" x14ac:dyDescent="0.35">
      <c r="A239" s="19" t="s">
        <v>467</v>
      </c>
      <c r="B239" s="20">
        <v>0.1724</v>
      </c>
      <c r="C239" s="19">
        <v>5</v>
      </c>
      <c r="D239" s="19">
        <v>0</v>
      </c>
      <c r="E239" s="19">
        <f t="shared" si="6"/>
        <v>5</v>
      </c>
      <c r="F239" s="21">
        <f t="shared" si="7"/>
        <v>1.4705882352941176E-2</v>
      </c>
    </row>
    <row r="240" spans="1:6" x14ac:dyDescent="0.35">
      <c r="A240" s="19" t="s">
        <v>467</v>
      </c>
      <c r="B240" s="20">
        <v>0.17249999999999999</v>
      </c>
      <c r="C240" s="19">
        <v>4</v>
      </c>
      <c r="D240" s="19">
        <v>18</v>
      </c>
      <c r="E240" s="19">
        <f t="shared" si="6"/>
        <v>22</v>
      </c>
      <c r="F240" s="21">
        <f t="shared" si="7"/>
        <v>6.4705882352941183E-2</v>
      </c>
    </row>
    <row r="241" spans="1:6" x14ac:dyDescent="0.35">
      <c r="A241" s="19" t="s">
        <v>467</v>
      </c>
      <c r="B241" s="20">
        <v>0.1749</v>
      </c>
      <c r="C241" s="19">
        <v>4</v>
      </c>
      <c r="D241" s="19">
        <v>0</v>
      </c>
      <c r="E241" s="19">
        <f t="shared" si="6"/>
        <v>4</v>
      </c>
      <c r="F241" s="21">
        <f t="shared" si="7"/>
        <v>1.1764705882352941E-2</v>
      </c>
    </row>
    <row r="242" spans="1:6" x14ac:dyDescent="0.35">
      <c r="A242" s="19" t="s">
        <v>467</v>
      </c>
      <c r="B242" s="20">
        <v>0.17499999999999999</v>
      </c>
      <c r="C242" s="19">
        <v>0</v>
      </c>
      <c r="D242" s="19">
        <v>30</v>
      </c>
      <c r="E242" s="19">
        <f t="shared" si="6"/>
        <v>30</v>
      </c>
      <c r="F242" s="21">
        <f t="shared" si="7"/>
        <v>8.8235294117647065E-2</v>
      </c>
    </row>
    <row r="243" spans="1:6" ht="15.6" thickBot="1" x14ac:dyDescent="0.4">
      <c r="A243" s="19" t="s">
        <v>467</v>
      </c>
      <c r="B243" s="20">
        <v>0.17749999999999999</v>
      </c>
      <c r="C243" s="19">
        <v>0</v>
      </c>
      <c r="D243" s="19">
        <v>3</v>
      </c>
      <c r="E243" s="19">
        <f t="shared" si="6"/>
        <v>3</v>
      </c>
      <c r="F243" s="21">
        <f t="shared" si="7"/>
        <v>8.8235294117647058E-3</v>
      </c>
    </row>
    <row r="244" spans="1:6" x14ac:dyDescent="0.35">
      <c r="A244" s="22" t="s">
        <v>468</v>
      </c>
      <c r="B244" s="23">
        <v>0.04</v>
      </c>
      <c r="C244" s="22">
        <v>0</v>
      </c>
      <c r="D244" s="22">
        <v>10</v>
      </c>
      <c r="E244" s="22">
        <f t="shared" si="6"/>
        <v>10</v>
      </c>
      <c r="F244" s="24">
        <f t="shared" si="7"/>
        <v>3.0581039755351681E-2</v>
      </c>
    </row>
    <row r="245" spans="1:6" x14ac:dyDescent="0.35">
      <c r="A245" s="19" t="s">
        <v>468</v>
      </c>
      <c r="B245" s="20">
        <v>5.5E-2</v>
      </c>
      <c r="C245" s="19">
        <v>0</v>
      </c>
      <c r="D245" s="19">
        <v>1</v>
      </c>
      <c r="E245" s="19">
        <f t="shared" si="6"/>
        <v>1</v>
      </c>
      <c r="F245" s="21">
        <f t="shared" si="7"/>
        <v>3.0581039755351682E-3</v>
      </c>
    </row>
    <row r="246" spans="1:6" x14ac:dyDescent="0.35">
      <c r="A246" s="19" t="s">
        <v>468</v>
      </c>
      <c r="B246" s="20">
        <v>0.06</v>
      </c>
      <c r="C246" s="19">
        <v>0</v>
      </c>
      <c r="D246" s="19">
        <v>3</v>
      </c>
      <c r="E246" s="19">
        <f t="shared" si="6"/>
        <v>3</v>
      </c>
      <c r="F246" s="21">
        <f t="shared" si="7"/>
        <v>9.1743119266055051E-3</v>
      </c>
    </row>
    <row r="247" spans="1:6" x14ac:dyDescent="0.35">
      <c r="A247" s="19" t="s">
        <v>468</v>
      </c>
      <c r="B247" s="20">
        <v>7.0000000000000007E-2</v>
      </c>
      <c r="C247" s="19">
        <v>0</v>
      </c>
      <c r="D247" s="19">
        <v>24</v>
      </c>
      <c r="E247" s="19">
        <f t="shared" si="6"/>
        <v>24</v>
      </c>
      <c r="F247" s="21">
        <f t="shared" si="7"/>
        <v>7.3394495412844041E-2</v>
      </c>
    </row>
    <row r="248" spans="1:6" x14ac:dyDescent="0.35">
      <c r="A248" s="19" t="s">
        <v>468</v>
      </c>
      <c r="B248" s="20">
        <v>0.08</v>
      </c>
      <c r="C248" s="19">
        <v>0</v>
      </c>
      <c r="D248" s="19">
        <v>2</v>
      </c>
      <c r="E248" s="19">
        <f t="shared" si="6"/>
        <v>2</v>
      </c>
      <c r="F248" s="21">
        <f t="shared" si="7"/>
        <v>6.1162079510703364E-3</v>
      </c>
    </row>
    <row r="249" spans="1:6" x14ac:dyDescent="0.35">
      <c r="A249" s="19" t="s">
        <v>468</v>
      </c>
      <c r="B249" s="20">
        <v>8.5000000000000006E-2</v>
      </c>
      <c r="C249" s="19">
        <v>0</v>
      </c>
      <c r="D249" s="19">
        <v>4</v>
      </c>
      <c r="E249" s="19">
        <f t="shared" si="6"/>
        <v>4</v>
      </c>
      <c r="F249" s="21">
        <f t="shared" si="7"/>
        <v>1.2232415902140673E-2</v>
      </c>
    </row>
    <row r="250" spans="1:6" x14ac:dyDescent="0.35">
      <c r="A250" s="19" t="s">
        <v>468</v>
      </c>
      <c r="B250" s="20">
        <v>0.11</v>
      </c>
      <c r="C250" s="19">
        <v>0</v>
      </c>
      <c r="D250" s="19">
        <v>1</v>
      </c>
      <c r="E250" s="19">
        <f t="shared" si="6"/>
        <v>1</v>
      </c>
      <c r="F250" s="21">
        <f t="shared" si="7"/>
        <v>3.0581039755351682E-3</v>
      </c>
    </row>
    <row r="251" spans="1:6" x14ac:dyDescent="0.35">
      <c r="A251" s="19" t="s">
        <v>468</v>
      </c>
      <c r="B251" s="20">
        <v>0.11749999999999999</v>
      </c>
      <c r="C251" s="19">
        <v>0</v>
      </c>
      <c r="D251" s="19">
        <v>1</v>
      </c>
      <c r="E251" s="19">
        <f t="shared" si="6"/>
        <v>1</v>
      </c>
      <c r="F251" s="21">
        <f t="shared" si="7"/>
        <v>3.0581039755351682E-3</v>
      </c>
    </row>
    <row r="252" spans="1:6" x14ac:dyDescent="0.35">
      <c r="A252" s="19" t="s">
        <v>468</v>
      </c>
      <c r="B252" s="20">
        <v>0.12</v>
      </c>
      <c r="C252" s="19">
        <v>0</v>
      </c>
      <c r="D252" s="19">
        <v>1</v>
      </c>
      <c r="E252" s="19">
        <f t="shared" si="6"/>
        <v>1</v>
      </c>
      <c r="F252" s="21">
        <f t="shared" si="7"/>
        <v>3.0581039755351682E-3</v>
      </c>
    </row>
    <row r="253" spans="1:6" x14ac:dyDescent="0.35">
      <c r="A253" s="19" t="s">
        <v>468</v>
      </c>
      <c r="B253" s="20">
        <v>0.121</v>
      </c>
      <c r="C253" s="19">
        <v>0</v>
      </c>
      <c r="D253" s="19">
        <v>1</v>
      </c>
      <c r="E253" s="19">
        <f t="shared" si="6"/>
        <v>1</v>
      </c>
      <c r="F253" s="21">
        <f t="shared" si="7"/>
        <v>3.0581039755351682E-3</v>
      </c>
    </row>
    <row r="254" spans="1:6" x14ac:dyDescent="0.35">
      <c r="A254" s="19" t="s">
        <v>468</v>
      </c>
      <c r="B254" s="20">
        <v>0.13489999999999999</v>
      </c>
      <c r="C254" s="19">
        <v>1</v>
      </c>
      <c r="D254" s="19">
        <v>0</v>
      </c>
      <c r="E254" s="19">
        <f t="shared" si="6"/>
        <v>1</v>
      </c>
      <c r="F254" s="21">
        <f t="shared" si="7"/>
        <v>3.0581039755351682E-3</v>
      </c>
    </row>
    <row r="255" spans="1:6" x14ac:dyDescent="0.35">
      <c r="A255" s="19" t="s">
        <v>468</v>
      </c>
      <c r="B255" s="20">
        <v>0.13639999999999999</v>
      </c>
      <c r="C255" s="19">
        <v>0</v>
      </c>
      <c r="D255" s="19">
        <v>1</v>
      </c>
      <c r="E255" s="19">
        <f t="shared" si="6"/>
        <v>1</v>
      </c>
      <c r="F255" s="21">
        <f t="shared" si="7"/>
        <v>3.0581039755351682E-3</v>
      </c>
    </row>
    <row r="256" spans="1:6" x14ac:dyDescent="0.35">
      <c r="A256" s="19" t="s">
        <v>468</v>
      </c>
      <c r="B256" s="20">
        <v>0.13750000000000001</v>
      </c>
      <c r="C256" s="19">
        <v>1</v>
      </c>
      <c r="D256" s="19">
        <v>0</v>
      </c>
      <c r="E256" s="19">
        <f t="shared" si="6"/>
        <v>1</v>
      </c>
      <c r="F256" s="21">
        <f t="shared" si="7"/>
        <v>3.0581039755351682E-3</v>
      </c>
    </row>
    <row r="257" spans="1:6" x14ac:dyDescent="0.35">
      <c r="A257" s="19" t="s">
        <v>468</v>
      </c>
      <c r="B257" s="20">
        <v>0.14180000000000001</v>
      </c>
      <c r="C257" s="19">
        <v>0</v>
      </c>
      <c r="D257" s="19">
        <v>1</v>
      </c>
      <c r="E257" s="19">
        <f t="shared" si="6"/>
        <v>1</v>
      </c>
      <c r="F257" s="21">
        <f t="shared" si="7"/>
        <v>3.0581039755351682E-3</v>
      </c>
    </row>
    <row r="258" spans="1:6" x14ac:dyDescent="0.35">
      <c r="A258" s="19" t="s">
        <v>468</v>
      </c>
      <c r="B258" s="20">
        <v>0.14249999999999999</v>
      </c>
      <c r="C258" s="19">
        <v>1</v>
      </c>
      <c r="D258" s="19">
        <v>0</v>
      </c>
      <c r="E258" s="19">
        <f t="shared" ref="E258:E303" si="8">C258+D258</f>
        <v>1</v>
      </c>
      <c r="F258" s="21">
        <f t="shared" ref="F258:F303" si="9">E258/SUMIFS($E$2:$E$303,$A$2:$A$303,A258)</f>
        <v>3.0581039755351682E-3</v>
      </c>
    </row>
    <row r="259" spans="1:6" x14ac:dyDescent="0.35">
      <c r="A259" s="19" t="s">
        <v>468</v>
      </c>
      <c r="B259" s="20">
        <v>0.14749999999999999</v>
      </c>
      <c r="C259" s="19">
        <v>1</v>
      </c>
      <c r="D259" s="19">
        <v>0</v>
      </c>
      <c r="E259" s="19">
        <f t="shared" si="8"/>
        <v>1</v>
      </c>
      <c r="F259" s="21">
        <f t="shared" si="9"/>
        <v>3.0581039755351682E-3</v>
      </c>
    </row>
    <row r="260" spans="1:6" x14ac:dyDescent="0.35">
      <c r="A260" s="19" t="s">
        <v>468</v>
      </c>
      <c r="B260" s="20">
        <v>0.14990000000000001</v>
      </c>
      <c r="C260" s="19">
        <v>14</v>
      </c>
      <c r="D260" s="19">
        <v>0</v>
      </c>
      <c r="E260" s="19">
        <f t="shared" si="8"/>
        <v>14</v>
      </c>
      <c r="F260" s="21">
        <f t="shared" si="9"/>
        <v>4.2813455657492352E-2</v>
      </c>
    </row>
    <row r="261" spans="1:6" x14ac:dyDescent="0.35">
      <c r="A261" s="19" t="s">
        <v>468</v>
      </c>
      <c r="B261" s="20">
        <v>0.15</v>
      </c>
      <c r="C261" s="19">
        <v>3</v>
      </c>
      <c r="D261" s="19">
        <v>0</v>
      </c>
      <c r="E261" s="19">
        <f t="shared" si="8"/>
        <v>3</v>
      </c>
      <c r="F261" s="21">
        <f t="shared" si="9"/>
        <v>9.1743119266055051E-3</v>
      </c>
    </row>
    <row r="262" spans="1:6" x14ac:dyDescent="0.35">
      <c r="A262" s="19" t="s">
        <v>468</v>
      </c>
      <c r="B262" s="20">
        <v>0.15110000000000001</v>
      </c>
      <c r="C262" s="19">
        <v>0</v>
      </c>
      <c r="D262" s="19">
        <v>1</v>
      </c>
      <c r="E262" s="19">
        <f t="shared" si="8"/>
        <v>1</v>
      </c>
      <c r="F262" s="21">
        <f t="shared" si="9"/>
        <v>3.0581039755351682E-3</v>
      </c>
    </row>
    <row r="263" spans="1:6" x14ac:dyDescent="0.35">
      <c r="A263" s="19" t="s">
        <v>468</v>
      </c>
      <c r="B263" s="20">
        <v>0.1515</v>
      </c>
      <c r="C263" s="19">
        <v>0</v>
      </c>
      <c r="D263" s="19">
        <v>1</v>
      </c>
      <c r="E263" s="19">
        <f t="shared" si="8"/>
        <v>1</v>
      </c>
      <c r="F263" s="21">
        <f t="shared" si="9"/>
        <v>3.0581039755351682E-3</v>
      </c>
    </row>
    <row r="264" spans="1:6" x14ac:dyDescent="0.35">
      <c r="A264" s="19" t="s">
        <v>468</v>
      </c>
      <c r="B264" s="20">
        <v>0.1525</v>
      </c>
      <c r="C264" s="19">
        <v>6</v>
      </c>
      <c r="D264" s="19">
        <v>0</v>
      </c>
      <c r="E264" s="19">
        <f t="shared" si="8"/>
        <v>6</v>
      </c>
      <c r="F264" s="21">
        <f t="shared" si="9"/>
        <v>1.834862385321101E-2</v>
      </c>
    </row>
    <row r="265" spans="1:6" x14ac:dyDescent="0.35">
      <c r="A265" s="19" t="s">
        <v>468</v>
      </c>
      <c r="B265" s="20">
        <v>0.15490000000000001</v>
      </c>
      <c r="C265" s="19">
        <v>15</v>
      </c>
      <c r="D265" s="19">
        <v>0</v>
      </c>
      <c r="E265" s="19">
        <f t="shared" si="8"/>
        <v>15</v>
      </c>
      <c r="F265" s="21">
        <f t="shared" si="9"/>
        <v>4.5871559633027525E-2</v>
      </c>
    </row>
    <row r="266" spans="1:6" x14ac:dyDescent="0.35">
      <c r="A266" s="19" t="s">
        <v>468</v>
      </c>
      <c r="B266" s="20">
        <v>0.155</v>
      </c>
      <c r="C266" s="19">
        <v>3</v>
      </c>
      <c r="D266" s="19">
        <v>1</v>
      </c>
      <c r="E266" s="19">
        <f t="shared" si="8"/>
        <v>4</v>
      </c>
      <c r="F266" s="21">
        <f t="shared" si="9"/>
        <v>1.2232415902140673E-2</v>
      </c>
    </row>
    <row r="267" spans="1:6" x14ac:dyDescent="0.35">
      <c r="A267" s="19" t="s">
        <v>468</v>
      </c>
      <c r="B267" s="20">
        <v>0.1555</v>
      </c>
      <c r="C267" s="19">
        <v>0</v>
      </c>
      <c r="D267" s="19">
        <v>1</v>
      </c>
      <c r="E267" s="19">
        <f t="shared" si="8"/>
        <v>1</v>
      </c>
      <c r="F267" s="21">
        <f t="shared" si="9"/>
        <v>3.0581039755351682E-3</v>
      </c>
    </row>
    <row r="268" spans="1:6" x14ac:dyDescent="0.35">
      <c r="A268" s="19" t="s">
        <v>468</v>
      </c>
      <c r="B268" s="20">
        <v>0.1575</v>
      </c>
      <c r="C268" s="19">
        <v>11</v>
      </c>
      <c r="D268" s="19">
        <v>2</v>
      </c>
      <c r="E268" s="19">
        <f t="shared" si="8"/>
        <v>13</v>
      </c>
      <c r="F268" s="21">
        <f t="shared" si="9"/>
        <v>3.9755351681957186E-2</v>
      </c>
    </row>
    <row r="269" spans="1:6" x14ac:dyDescent="0.35">
      <c r="A269" s="19" t="s">
        <v>468</v>
      </c>
      <c r="B269" s="20">
        <v>0.15989999999999999</v>
      </c>
      <c r="C269" s="19">
        <v>15</v>
      </c>
      <c r="D269" s="19">
        <v>3</v>
      </c>
      <c r="E269" s="19">
        <f t="shared" si="8"/>
        <v>18</v>
      </c>
      <c r="F269" s="21">
        <f t="shared" si="9"/>
        <v>5.5045871559633031E-2</v>
      </c>
    </row>
    <row r="270" spans="1:6" x14ac:dyDescent="0.35">
      <c r="A270" s="19" t="s">
        <v>468</v>
      </c>
      <c r="B270" s="20">
        <v>0.16</v>
      </c>
      <c r="C270" s="19">
        <v>3</v>
      </c>
      <c r="D270" s="19">
        <v>0</v>
      </c>
      <c r="E270" s="19">
        <f t="shared" si="8"/>
        <v>3</v>
      </c>
      <c r="F270" s="21">
        <f t="shared" si="9"/>
        <v>9.1743119266055051E-3</v>
      </c>
    </row>
    <row r="271" spans="1:6" x14ac:dyDescent="0.35">
      <c r="A271" s="19" t="s">
        <v>468</v>
      </c>
      <c r="B271" s="20">
        <v>0.16239999999999999</v>
      </c>
      <c r="C271" s="19">
        <v>29</v>
      </c>
      <c r="D271" s="19">
        <v>0</v>
      </c>
      <c r="E271" s="19">
        <f t="shared" si="8"/>
        <v>29</v>
      </c>
      <c r="F271" s="21">
        <f t="shared" si="9"/>
        <v>8.8685015290519878E-2</v>
      </c>
    </row>
    <row r="272" spans="1:6" x14ac:dyDescent="0.35">
      <c r="A272" s="19" t="s">
        <v>468</v>
      </c>
      <c r="B272" s="20">
        <v>0.16250000000000001</v>
      </c>
      <c r="C272" s="19">
        <v>14</v>
      </c>
      <c r="D272" s="19">
        <v>8</v>
      </c>
      <c r="E272" s="19">
        <f t="shared" si="8"/>
        <v>22</v>
      </c>
      <c r="F272" s="21">
        <f t="shared" si="9"/>
        <v>6.7278287461773695E-2</v>
      </c>
    </row>
    <row r="273" spans="1:6" x14ac:dyDescent="0.35">
      <c r="A273" s="19" t="s">
        <v>468</v>
      </c>
      <c r="B273" s="20">
        <v>0.16489999999999999</v>
      </c>
      <c r="C273" s="19">
        <v>19</v>
      </c>
      <c r="D273" s="19">
        <v>0</v>
      </c>
      <c r="E273" s="19">
        <f t="shared" si="8"/>
        <v>19</v>
      </c>
      <c r="F273" s="21">
        <f t="shared" si="9"/>
        <v>5.8103975535168197E-2</v>
      </c>
    </row>
    <row r="274" spans="1:6" x14ac:dyDescent="0.35">
      <c r="A274" s="19" t="s">
        <v>468</v>
      </c>
      <c r="B274" s="20">
        <v>0.16500000000000001</v>
      </c>
      <c r="C274" s="19">
        <v>0</v>
      </c>
      <c r="D274" s="19">
        <v>22</v>
      </c>
      <c r="E274" s="19">
        <f t="shared" si="8"/>
        <v>22</v>
      </c>
      <c r="F274" s="21">
        <f t="shared" si="9"/>
        <v>6.7278287461773695E-2</v>
      </c>
    </row>
    <row r="275" spans="1:6" x14ac:dyDescent="0.35">
      <c r="A275" s="19" t="s">
        <v>468</v>
      </c>
      <c r="B275" s="20">
        <v>0.16750000000000001</v>
      </c>
      <c r="C275" s="19">
        <v>6</v>
      </c>
      <c r="D275" s="19">
        <v>1</v>
      </c>
      <c r="E275" s="19">
        <f t="shared" si="8"/>
        <v>7</v>
      </c>
      <c r="F275" s="21">
        <f t="shared" si="9"/>
        <v>2.1406727828746176E-2</v>
      </c>
    </row>
    <row r="276" spans="1:6" x14ac:dyDescent="0.35">
      <c r="A276" s="19" t="s">
        <v>468</v>
      </c>
      <c r="B276" s="20">
        <v>0.1699</v>
      </c>
      <c r="C276" s="19">
        <v>6</v>
      </c>
      <c r="D276" s="19">
        <v>4</v>
      </c>
      <c r="E276" s="19">
        <f t="shared" si="8"/>
        <v>10</v>
      </c>
      <c r="F276" s="21">
        <f t="shared" si="9"/>
        <v>3.0581039755351681E-2</v>
      </c>
    </row>
    <row r="277" spans="1:6" x14ac:dyDescent="0.35">
      <c r="A277" s="19" t="s">
        <v>468</v>
      </c>
      <c r="B277" s="20">
        <v>0.17</v>
      </c>
      <c r="C277" s="19">
        <v>21</v>
      </c>
      <c r="D277" s="19">
        <v>2</v>
      </c>
      <c r="E277" s="19">
        <f t="shared" si="8"/>
        <v>23</v>
      </c>
      <c r="F277" s="21">
        <f t="shared" si="9"/>
        <v>7.0336391437308868E-2</v>
      </c>
    </row>
    <row r="278" spans="1:6" x14ac:dyDescent="0.35">
      <c r="A278" s="19" t="s">
        <v>468</v>
      </c>
      <c r="B278" s="20">
        <v>0.1724</v>
      </c>
      <c r="C278" s="19">
        <v>10</v>
      </c>
      <c r="D278" s="19">
        <v>0</v>
      </c>
      <c r="E278" s="19">
        <f t="shared" si="8"/>
        <v>10</v>
      </c>
      <c r="F278" s="21">
        <f t="shared" si="9"/>
        <v>3.0581039755351681E-2</v>
      </c>
    </row>
    <row r="279" spans="1:6" x14ac:dyDescent="0.35">
      <c r="A279" s="19" t="s">
        <v>468</v>
      </c>
      <c r="B279" s="20">
        <v>0.17249999999999999</v>
      </c>
      <c r="C279" s="19">
        <v>4</v>
      </c>
      <c r="D279" s="19">
        <v>20</v>
      </c>
      <c r="E279" s="19">
        <f t="shared" si="8"/>
        <v>24</v>
      </c>
      <c r="F279" s="21">
        <f t="shared" si="9"/>
        <v>7.3394495412844041E-2</v>
      </c>
    </row>
    <row r="280" spans="1:6" x14ac:dyDescent="0.35">
      <c r="A280" s="19" t="s">
        <v>468</v>
      </c>
      <c r="B280" s="20">
        <v>0.17299999999999999</v>
      </c>
      <c r="C280" s="19">
        <v>0</v>
      </c>
      <c r="D280" s="19">
        <v>1</v>
      </c>
      <c r="E280" s="19">
        <f t="shared" si="8"/>
        <v>1</v>
      </c>
      <c r="F280" s="21">
        <f t="shared" si="9"/>
        <v>3.0581039755351682E-3</v>
      </c>
    </row>
    <row r="281" spans="1:6" x14ac:dyDescent="0.35">
      <c r="A281" s="19" t="s">
        <v>468</v>
      </c>
      <c r="B281" s="20">
        <v>0.1749</v>
      </c>
      <c r="C281" s="19">
        <v>1</v>
      </c>
      <c r="D281" s="19">
        <v>0</v>
      </c>
      <c r="E281" s="19">
        <f t="shared" si="8"/>
        <v>1</v>
      </c>
      <c r="F281" s="21">
        <f t="shared" si="9"/>
        <v>3.0581039755351682E-3</v>
      </c>
    </row>
    <row r="282" spans="1:6" x14ac:dyDescent="0.35">
      <c r="A282" s="19" t="s">
        <v>468</v>
      </c>
      <c r="B282" s="20">
        <v>0.17499999999999999</v>
      </c>
      <c r="C282" s="19">
        <v>0</v>
      </c>
      <c r="D282" s="19">
        <v>22</v>
      </c>
      <c r="E282" s="19">
        <f t="shared" si="8"/>
        <v>22</v>
      </c>
      <c r="F282" s="21">
        <f t="shared" si="9"/>
        <v>6.7278287461773695E-2</v>
      </c>
    </row>
    <row r="283" spans="1:6" ht="15.6" thickBot="1" x14ac:dyDescent="0.4">
      <c r="A283" s="19" t="s">
        <v>468</v>
      </c>
      <c r="B283" s="20">
        <v>0.17749999999999999</v>
      </c>
      <c r="C283" s="19">
        <v>0</v>
      </c>
      <c r="D283" s="19">
        <v>4</v>
      </c>
      <c r="E283" s="19">
        <f t="shared" si="8"/>
        <v>4</v>
      </c>
      <c r="F283" s="21">
        <f t="shared" si="9"/>
        <v>1.2232415902140673E-2</v>
      </c>
    </row>
    <row r="284" spans="1:6" x14ac:dyDescent="0.35">
      <c r="A284" s="22" t="s">
        <v>469</v>
      </c>
      <c r="B284" s="23">
        <v>0.04</v>
      </c>
      <c r="C284" s="22">
        <v>0</v>
      </c>
      <c r="D284" s="22">
        <v>5</v>
      </c>
      <c r="E284" s="22">
        <f t="shared" si="8"/>
        <v>5</v>
      </c>
      <c r="F284" s="24">
        <f t="shared" si="9"/>
        <v>7.0422535211267609E-2</v>
      </c>
    </row>
    <row r="285" spans="1:6" x14ac:dyDescent="0.35">
      <c r="A285" s="19" t="s">
        <v>469</v>
      </c>
      <c r="B285" s="20">
        <v>0.06</v>
      </c>
      <c r="C285" s="19">
        <v>0</v>
      </c>
      <c r="D285" s="19">
        <v>1</v>
      </c>
      <c r="E285" s="19">
        <f t="shared" si="8"/>
        <v>1</v>
      </c>
      <c r="F285" s="21">
        <f t="shared" si="9"/>
        <v>1.4084507042253521E-2</v>
      </c>
    </row>
    <row r="286" spans="1:6" x14ac:dyDescent="0.35">
      <c r="A286" s="19" t="s">
        <v>469</v>
      </c>
      <c r="B286" s="20">
        <v>7.0000000000000007E-2</v>
      </c>
      <c r="C286" s="19">
        <v>0</v>
      </c>
      <c r="D286" s="19">
        <v>8</v>
      </c>
      <c r="E286" s="19">
        <f t="shared" si="8"/>
        <v>8</v>
      </c>
      <c r="F286" s="21">
        <f t="shared" si="9"/>
        <v>0.11267605633802817</v>
      </c>
    </row>
    <row r="287" spans="1:6" x14ac:dyDescent="0.35">
      <c r="A287" s="19" t="s">
        <v>469</v>
      </c>
      <c r="B287" s="20">
        <v>0.10050000000000001</v>
      </c>
      <c r="C287" s="19">
        <v>0</v>
      </c>
      <c r="D287" s="19">
        <v>1</v>
      </c>
      <c r="E287" s="19">
        <f t="shared" si="8"/>
        <v>1</v>
      </c>
      <c r="F287" s="21">
        <f t="shared" si="9"/>
        <v>1.4084507042253521E-2</v>
      </c>
    </row>
    <row r="288" spans="1:6" x14ac:dyDescent="0.35">
      <c r="A288" s="19" t="s">
        <v>469</v>
      </c>
      <c r="B288" s="20">
        <v>0.105</v>
      </c>
      <c r="C288" s="19">
        <v>0</v>
      </c>
      <c r="D288" s="19">
        <v>1</v>
      </c>
      <c r="E288" s="19">
        <f t="shared" si="8"/>
        <v>1</v>
      </c>
      <c r="F288" s="21">
        <f t="shared" si="9"/>
        <v>1.4084507042253521E-2</v>
      </c>
    </row>
    <row r="289" spans="1:6" x14ac:dyDescent="0.35">
      <c r="A289" s="19" t="s">
        <v>469</v>
      </c>
      <c r="B289" s="20">
        <v>0.11</v>
      </c>
      <c r="C289" s="19">
        <v>0</v>
      </c>
      <c r="D289" s="19">
        <v>1</v>
      </c>
      <c r="E289" s="19">
        <f t="shared" si="8"/>
        <v>1</v>
      </c>
      <c r="F289" s="21">
        <f t="shared" si="9"/>
        <v>1.4084507042253521E-2</v>
      </c>
    </row>
    <row r="290" spans="1:6" x14ac:dyDescent="0.35">
      <c r="A290" s="19" t="s">
        <v>469</v>
      </c>
      <c r="B290" s="20">
        <v>0.11749999999999999</v>
      </c>
      <c r="C290" s="19">
        <v>0</v>
      </c>
      <c r="D290" s="19">
        <v>1</v>
      </c>
      <c r="E290" s="19">
        <f t="shared" si="8"/>
        <v>1</v>
      </c>
      <c r="F290" s="21">
        <f t="shared" si="9"/>
        <v>1.4084507042253521E-2</v>
      </c>
    </row>
    <row r="291" spans="1:6" x14ac:dyDescent="0.35">
      <c r="A291" s="19" t="s">
        <v>469</v>
      </c>
      <c r="B291" s="20">
        <v>0.14430000000000001</v>
      </c>
      <c r="C291" s="19">
        <v>0</v>
      </c>
      <c r="D291" s="19">
        <v>1</v>
      </c>
      <c r="E291" s="19">
        <f t="shared" si="8"/>
        <v>1</v>
      </c>
      <c r="F291" s="21">
        <f t="shared" si="9"/>
        <v>1.4084507042253521E-2</v>
      </c>
    </row>
    <row r="292" spans="1:6" x14ac:dyDescent="0.35">
      <c r="A292" s="19" t="s">
        <v>469</v>
      </c>
      <c r="B292" s="20">
        <v>0.14860000000000001</v>
      </c>
      <c r="C292" s="19">
        <v>0</v>
      </c>
      <c r="D292" s="19">
        <v>1</v>
      </c>
      <c r="E292" s="19">
        <f t="shared" si="8"/>
        <v>1</v>
      </c>
      <c r="F292" s="21">
        <f t="shared" si="9"/>
        <v>1.4084507042253521E-2</v>
      </c>
    </row>
    <row r="293" spans="1:6" x14ac:dyDescent="0.35">
      <c r="A293" s="19" t="s">
        <v>469</v>
      </c>
      <c r="B293" s="20">
        <v>0.1575</v>
      </c>
      <c r="C293" s="19">
        <v>0</v>
      </c>
      <c r="D293" s="19">
        <v>1</v>
      </c>
      <c r="E293" s="19">
        <f t="shared" si="8"/>
        <v>1</v>
      </c>
      <c r="F293" s="21">
        <f t="shared" si="9"/>
        <v>1.4084507042253521E-2</v>
      </c>
    </row>
    <row r="294" spans="1:6" x14ac:dyDescent="0.35">
      <c r="A294" s="19" t="s">
        <v>469</v>
      </c>
      <c r="B294" s="20">
        <v>0.15989999999999999</v>
      </c>
      <c r="C294" s="19">
        <v>0</v>
      </c>
      <c r="D294" s="19">
        <v>2</v>
      </c>
      <c r="E294" s="19">
        <f t="shared" si="8"/>
        <v>2</v>
      </c>
      <c r="F294" s="21">
        <f t="shared" si="9"/>
        <v>2.8169014084507043E-2</v>
      </c>
    </row>
    <row r="295" spans="1:6" x14ac:dyDescent="0.35">
      <c r="A295" s="19" t="s">
        <v>469</v>
      </c>
      <c r="B295" s="20">
        <v>0.16250000000000001</v>
      </c>
      <c r="C295" s="19">
        <v>0</v>
      </c>
      <c r="D295" s="19">
        <v>3</v>
      </c>
      <c r="E295" s="19">
        <f t="shared" si="8"/>
        <v>3</v>
      </c>
      <c r="F295" s="21">
        <f t="shared" si="9"/>
        <v>4.2253521126760563E-2</v>
      </c>
    </row>
    <row r="296" spans="1:6" x14ac:dyDescent="0.35">
      <c r="A296" s="19" t="s">
        <v>469</v>
      </c>
      <c r="B296" s="20">
        <v>0.16500000000000001</v>
      </c>
      <c r="C296" s="19">
        <v>0</v>
      </c>
      <c r="D296" s="19">
        <v>11</v>
      </c>
      <c r="E296" s="19">
        <f t="shared" si="8"/>
        <v>11</v>
      </c>
      <c r="F296" s="21">
        <f t="shared" si="9"/>
        <v>0.15492957746478872</v>
      </c>
    </row>
    <row r="297" spans="1:6" x14ac:dyDescent="0.35">
      <c r="A297" s="19" t="s">
        <v>469</v>
      </c>
      <c r="B297" s="20">
        <v>0.16650000000000001</v>
      </c>
      <c r="C297" s="19">
        <v>0</v>
      </c>
      <c r="D297" s="19">
        <v>1</v>
      </c>
      <c r="E297" s="19">
        <f t="shared" si="8"/>
        <v>1</v>
      </c>
      <c r="F297" s="21">
        <f t="shared" si="9"/>
        <v>1.4084507042253521E-2</v>
      </c>
    </row>
    <row r="298" spans="1:6" x14ac:dyDescent="0.35">
      <c r="A298" s="19" t="s">
        <v>469</v>
      </c>
      <c r="B298" s="20">
        <v>0.16750000000000001</v>
      </c>
      <c r="C298" s="19">
        <v>0</v>
      </c>
      <c r="D298" s="19">
        <v>3</v>
      </c>
      <c r="E298" s="19">
        <f t="shared" si="8"/>
        <v>3</v>
      </c>
      <c r="F298" s="21">
        <f t="shared" si="9"/>
        <v>4.2253521126760563E-2</v>
      </c>
    </row>
    <row r="299" spans="1:6" x14ac:dyDescent="0.35">
      <c r="A299" s="19" t="s">
        <v>469</v>
      </c>
      <c r="B299" s="20">
        <v>0.16800000000000001</v>
      </c>
      <c r="C299" s="19">
        <v>0</v>
      </c>
      <c r="D299" s="19">
        <v>1</v>
      </c>
      <c r="E299" s="19">
        <f t="shared" si="8"/>
        <v>1</v>
      </c>
      <c r="F299" s="21">
        <f t="shared" si="9"/>
        <v>1.4084507042253521E-2</v>
      </c>
    </row>
    <row r="300" spans="1:6" x14ac:dyDescent="0.35">
      <c r="A300" s="19" t="s">
        <v>469</v>
      </c>
      <c r="B300" s="20">
        <v>0.1699</v>
      </c>
      <c r="C300" s="19">
        <v>0</v>
      </c>
      <c r="D300" s="19">
        <v>6</v>
      </c>
      <c r="E300" s="19">
        <f t="shared" si="8"/>
        <v>6</v>
      </c>
      <c r="F300" s="21">
        <f t="shared" si="9"/>
        <v>8.4507042253521125E-2</v>
      </c>
    </row>
    <row r="301" spans="1:6" x14ac:dyDescent="0.35">
      <c r="A301" s="19" t="s">
        <v>469</v>
      </c>
      <c r="B301" s="20">
        <v>0.17249999999999999</v>
      </c>
      <c r="C301" s="19">
        <v>0</v>
      </c>
      <c r="D301" s="19">
        <v>7</v>
      </c>
      <c r="E301" s="19">
        <f t="shared" si="8"/>
        <v>7</v>
      </c>
      <c r="F301" s="21">
        <f t="shared" si="9"/>
        <v>9.8591549295774641E-2</v>
      </c>
    </row>
    <row r="302" spans="1:6" x14ac:dyDescent="0.35">
      <c r="A302" s="19" t="s">
        <v>469</v>
      </c>
      <c r="B302" s="20">
        <v>0.17499999999999999</v>
      </c>
      <c r="C302" s="19">
        <v>0</v>
      </c>
      <c r="D302" s="19">
        <v>13</v>
      </c>
      <c r="E302" s="19">
        <f t="shared" si="8"/>
        <v>13</v>
      </c>
      <c r="F302" s="21">
        <f t="shared" si="9"/>
        <v>0.18309859154929578</v>
      </c>
    </row>
    <row r="303" spans="1:6" x14ac:dyDescent="0.35">
      <c r="A303" s="19" t="s">
        <v>469</v>
      </c>
      <c r="B303" s="20">
        <v>0.17749999999999999</v>
      </c>
      <c r="C303" s="19">
        <v>0</v>
      </c>
      <c r="D303" s="19">
        <v>3</v>
      </c>
      <c r="E303" s="19">
        <f t="shared" si="8"/>
        <v>3</v>
      </c>
      <c r="F303" s="21">
        <f t="shared" si="9"/>
        <v>4.2253521126760563E-2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0"/>
  <sheetViews>
    <sheetView workbookViewId="0">
      <selection activeCell="B498" sqref="B498"/>
    </sheetView>
  </sheetViews>
  <sheetFormatPr defaultRowHeight="15" x14ac:dyDescent="0.35"/>
  <cols>
    <col min="1" max="1" width="8.88671875" style="2"/>
    <col min="2" max="2" width="39.5546875" style="2" bestFit="1" customWidth="1"/>
    <col min="3" max="3" width="19.44140625" style="2" bestFit="1" customWidth="1"/>
    <col min="4" max="4" width="14.5546875" style="9" bestFit="1" customWidth="1"/>
  </cols>
  <sheetData>
    <row r="1" spans="1:4" x14ac:dyDescent="0.35">
      <c r="A1" s="6"/>
      <c r="B1" s="6" t="s">
        <v>431</v>
      </c>
      <c r="C1" s="6" t="s">
        <v>420</v>
      </c>
      <c r="D1" s="10" t="s">
        <v>430</v>
      </c>
    </row>
    <row r="2" spans="1:4" x14ac:dyDescent="0.35">
      <c r="A2" s="5" t="s">
        <v>421</v>
      </c>
      <c r="C2" s="3">
        <v>228</v>
      </c>
    </row>
    <row r="3" spans="1:4" x14ac:dyDescent="0.35">
      <c r="B3" s="4" t="s">
        <v>150</v>
      </c>
      <c r="C3" s="3">
        <v>1</v>
      </c>
      <c r="D3" s="9">
        <f>C3/228</f>
        <v>4.3859649122807015E-3</v>
      </c>
    </row>
    <row r="4" spans="1:4" x14ac:dyDescent="0.35">
      <c r="B4" s="4" t="s">
        <v>55</v>
      </c>
      <c r="C4" s="3">
        <v>5</v>
      </c>
      <c r="D4" s="9">
        <f t="shared" ref="D4:D67" si="0">C4/228</f>
        <v>2.1929824561403508E-2</v>
      </c>
    </row>
    <row r="5" spans="1:4" x14ac:dyDescent="0.35">
      <c r="B5" s="4" t="s">
        <v>22</v>
      </c>
      <c r="C5" s="3">
        <v>7</v>
      </c>
      <c r="D5" s="9">
        <f t="shared" si="0"/>
        <v>3.0701754385964911E-2</v>
      </c>
    </row>
    <row r="6" spans="1:4" x14ac:dyDescent="0.35">
      <c r="B6" s="4" t="s">
        <v>24</v>
      </c>
      <c r="C6" s="3">
        <v>6</v>
      </c>
      <c r="D6" s="9">
        <f t="shared" si="0"/>
        <v>2.6315789473684209E-2</v>
      </c>
    </row>
    <row r="7" spans="1:4" x14ac:dyDescent="0.35">
      <c r="B7" s="4" t="s">
        <v>283</v>
      </c>
      <c r="C7" s="3">
        <v>1</v>
      </c>
      <c r="D7" s="9">
        <f t="shared" si="0"/>
        <v>4.3859649122807015E-3</v>
      </c>
    </row>
    <row r="8" spans="1:4" x14ac:dyDescent="0.35">
      <c r="B8" s="4" t="s">
        <v>45</v>
      </c>
      <c r="C8" s="3">
        <v>2</v>
      </c>
      <c r="D8" s="9">
        <f t="shared" si="0"/>
        <v>8.771929824561403E-3</v>
      </c>
    </row>
    <row r="9" spans="1:4" x14ac:dyDescent="0.35">
      <c r="B9" s="4" t="s">
        <v>317</v>
      </c>
      <c r="C9" s="3">
        <v>6</v>
      </c>
      <c r="D9" s="9">
        <f t="shared" si="0"/>
        <v>2.6315789473684209E-2</v>
      </c>
    </row>
    <row r="10" spans="1:4" x14ac:dyDescent="0.35">
      <c r="B10" s="4" t="s">
        <v>8</v>
      </c>
      <c r="C10" s="3">
        <v>2</v>
      </c>
      <c r="D10" s="9">
        <f t="shared" si="0"/>
        <v>8.771929824561403E-3</v>
      </c>
    </row>
    <row r="11" spans="1:4" x14ac:dyDescent="0.35">
      <c r="B11" s="4" t="s">
        <v>75</v>
      </c>
      <c r="C11" s="3">
        <v>1</v>
      </c>
      <c r="D11" s="9">
        <f t="shared" si="0"/>
        <v>4.3859649122807015E-3</v>
      </c>
    </row>
    <row r="12" spans="1:4" x14ac:dyDescent="0.35">
      <c r="B12" s="4" t="s">
        <v>394</v>
      </c>
      <c r="C12" s="3">
        <v>2</v>
      </c>
      <c r="D12" s="9">
        <f t="shared" si="0"/>
        <v>8.771929824561403E-3</v>
      </c>
    </row>
    <row r="13" spans="1:4" x14ac:dyDescent="0.35">
      <c r="B13" s="4" t="s">
        <v>29</v>
      </c>
      <c r="C13" s="3">
        <v>10</v>
      </c>
      <c r="D13" s="9">
        <f t="shared" si="0"/>
        <v>4.3859649122807015E-2</v>
      </c>
    </row>
    <row r="14" spans="1:4" x14ac:dyDescent="0.35">
      <c r="B14" s="4" t="s">
        <v>152</v>
      </c>
      <c r="C14" s="3">
        <v>1</v>
      </c>
      <c r="D14" s="9">
        <f t="shared" si="0"/>
        <v>4.3859649122807015E-3</v>
      </c>
    </row>
    <row r="15" spans="1:4" x14ac:dyDescent="0.35">
      <c r="B15" s="4" t="s">
        <v>156</v>
      </c>
      <c r="C15" s="3">
        <v>1</v>
      </c>
      <c r="D15" s="9">
        <f t="shared" si="0"/>
        <v>4.3859649122807015E-3</v>
      </c>
    </row>
    <row r="16" spans="1:4" x14ac:dyDescent="0.35">
      <c r="B16" s="4" t="s">
        <v>101</v>
      </c>
      <c r="C16" s="3">
        <v>4</v>
      </c>
      <c r="D16" s="9">
        <f t="shared" si="0"/>
        <v>1.7543859649122806E-2</v>
      </c>
    </row>
    <row r="17" spans="2:4" x14ac:dyDescent="0.35">
      <c r="B17" s="4" t="s">
        <v>316</v>
      </c>
      <c r="C17" s="3">
        <v>2</v>
      </c>
      <c r="D17" s="9">
        <f t="shared" si="0"/>
        <v>8.771929824561403E-3</v>
      </c>
    </row>
    <row r="18" spans="2:4" x14ac:dyDescent="0.35">
      <c r="B18" s="4" t="s">
        <v>50</v>
      </c>
      <c r="C18" s="3">
        <v>1</v>
      </c>
      <c r="D18" s="9">
        <f t="shared" si="0"/>
        <v>4.3859649122807015E-3</v>
      </c>
    </row>
    <row r="19" spans="2:4" x14ac:dyDescent="0.35">
      <c r="B19" s="4" t="s">
        <v>53</v>
      </c>
      <c r="C19" s="3">
        <v>1</v>
      </c>
      <c r="D19" s="9">
        <f t="shared" si="0"/>
        <v>4.3859649122807015E-3</v>
      </c>
    </row>
    <row r="20" spans="2:4" x14ac:dyDescent="0.35">
      <c r="B20" s="4" t="s">
        <v>26</v>
      </c>
      <c r="C20" s="3">
        <v>6</v>
      </c>
      <c r="D20" s="9">
        <f t="shared" si="0"/>
        <v>2.6315789473684209E-2</v>
      </c>
    </row>
    <row r="21" spans="2:4" x14ac:dyDescent="0.35">
      <c r="B21" s="4" t="s">
        <v>89</v>
      </c>
      <c r="C21" s="3">
        <v>1</v>
      </c>
      <c r="D21" s="9">
        <f t="shared" si="0"/>
        <v>4.3859649122807015E-3</v>
      </c>
    </row>
    <row r="22" spans="2:4" x14ac:dyDescent="0.35">
      <c r="B22" s="4" t="s">
        <v>94</v>
      </c>
      <c r="C22" s="3">
        <v>1</v>
      </c>
      <c r="D22" s="9">
        <f t="shared" si="0"/>
        <v>4.3859649122807015E-3</v>
      </c>
    </row>
    <row r="23" spans="2:4" x14ac:dyDescent="0.35">
      <c r="B23" s="4" t="s">
        <v>33</v>
      </c>
      <c r="C23" s="3">
        <v>2</v>
      </c>
      <c r="D23" s="9">
        <f t="shared" si="0"/>
        <v>8.771929824561403E-3</v>
      </c>
    </row>
    <row r="24" spans="2:4" x14ac:dyDescent="0.35">
      <c r="B24" s="4" t="s">
        <v>19</v>
      </c>
      <c r="C24" s="3">
        <v>3</v>
      </c>
      <c r="D24" s="9">
        <f t="shared" si="0"/>
        <v>1.3157894736842105E-2</v>
      </c>
    </row>
    <row r="25" spans="2:4" x14ac:dyDescent="0.35">
      <c r="B25" s="4" t="s">
        <v>171</v>
      </c>
      <c r="C25" s="3">
        <v>7</v>
      </c>
      <c r="D25" s="9">
        <f t="shared" si="0"/>
        <v>3.0701754385964911E-2</v>
      </c>
    </row>
    <row r="26" spans="2:4" x14ac:dyDescent="0.35">
      <c r="B26" s="4" t="s">
        <v>86</v>
      </c>
      <c r="C26" s="3">
        <v>5</v>
      </c>
      <c r="D26" s="9">
        <f t="shared" si="0"/>
        <v>2.1929824561403508E-2</v>
      </c>
    </row>
    <row r="27" spans="2:4" x14ac:dyDescent="0.35">
      <c r="B27" s="4" t="s">
        <v>134</v>
      </c>
      <c r="C27" s="3">
        <v>8</v>
      </c>
      <c r="D27" s="9">
        <f t="shared" si="0"/>
        <v>3.5087719298245612E-2</v>
      </c>
    </row>
    <row r="28" spans="2:4" x14ac:dyDescent="0.35">
      <c r="B28" s="4" t="s">
        <v>80</v>
      </c>
      <c r="C28" s="3">
        <v>5</v>
      </c>
      <c r="D28" s="9">
        <f t="shared" si="0"/>
        <v>2.1929824561403508E-2</v>
      </c>
    </row>
    <row r="29" spans="2:4" x14ac:dyDescent="0.35">
      <c r="B29" s="4" t="s">
        <v>84</v>
      </c>
      <c r="C29" s="3">
        <v>6</v>
      </c>
      <c r="D29" s="9">
        <f t="shared" si="0"/>
        <v>2.6315789473684209E-2</v>
      </c>
    </row>
    <row r="30" spans="2:4" x14ac:dyDescent="0.35">
      <c r="B30" s="4" t="s">
        <v>97</v>
      </c>
      <c r="C30" s="3">
        <v>3</v>
      </c>
      <c r="D30" s="9">
        <f t="shared" si="0"/>
        <v>1.3157894736842105E-2</v>
      </c>
    </row>
    <row r="31" spans="2:4" x14ac:dyDescent="0.35">
      <c r="B31" s="4" t="s">
        <v>145</v>
      </c>
      <c r="C31" s="3">
        <v>1</v>
      </c>
      <c r="D31" s="9">
        <f t="shared" si="0"/>
        <v>4.3859649122807015E-3</v>
      </c>
    </row>
    <row r="32" spans="2:4" x14ac:dyDescent="0.35">
      <c r="B32" s="4" t="s">
        <v>81</v>
      </c>
      <c r="C32" s="3">
        <v>10</v>
      </c>
      <c r="D32" s="9">
        <f t="shared" si="0"/>
        <v>4.3859649122807015E-2</v>
      </c>
    </row>
    <row r="33" spans="2:4" x14ac:dyDescent="0.35">
      <c r="B33" s="4" t="s">
        <v>91</v>
      </c>
      <c r="C33" s="3">
        <v>3</v>
      </c>
      <c r="D33" s="9">
        <f t="shared" si="0"/>
        <v>1.3157894736842105E-2</v>
      </c>
    </row>
    <row r="34" spans="2:4" x14ac:dyDescent="0.35">
      <c r="B34" s="4" t="s">
        <v>401</v>
      </c>
      <c r="C34" s="3">
        <v>1</v>
      </c>
      <c r="D34" s="9">
        <f t="shared" si="0"/>
        <v>4.3859649122807015E-3</v>
      </c>
    </row>
    <row r="35" spans="2:4" x14ac:dyDescent="0.35">
      <c r="B35" s="4" t="s">
        <v>61</v>
      </c>
      <c r="C35" s="3">
        <v>1</v>
      </c>
      <c r="D35" s="9">
        <f t="shared" si="0"/>
        <v>4.3859649122807015E-3</v>
      </c>
    </row>
    <row r="36" spans="2:4" x14ac:dyDescent="0.35">
      <c r="B36" s="4" t="s">
        <v>167</v>
      </c>
      <c r="C36" s="3">
        <v>3</v>
      </c>
      <c r="D36" s="9">
        <f t="shared" si="0"/>
        <v>1.3157894736842105E-2</v>
      </c>
    </row>
    <row r="37" spans="2:4" x14ac:dyDescent="0.35">
      <c r="B37" s="4" t="s">
        <v>381</v>
      </c>
      <c r="C37" s="3">
        <v>4</v>
      </c>
      <c r="D37" s="9">
        <f t="shared" si="0"/>
        <v>1.7543859649122806E-2</v>
      </c>
    </row>
    <row r="38" spans="2:4" x14ac:dyDescent="0.35">
      <c r="B38" s="4" t="s">
        <v>49</v>
      </c>
      <c r="C38" s="3">
        <v>6</v>
      </c>
      <c r="D38" s="9">
        <f t="shared" si="0"/>
        <v>2.6315789473684209E-2</v>
      </c>
    </row>
    <row r="39" spans="2:4" x14ac:dyDescent="0.35">
      <c r="B39" s="4" t="s">
        <v>226</v>
      </c>
      <c r="C39" s="3">
        <v>2</v>
      </c>
      <c r="D39" s="9">
        <f t="shared" si="0"/>
        <v>8.771929824561403E-3</v>
      </c>
    </row>
    <row r="40" spans="2:4" x14ac:dyDescent="0.35">
      <c r="B40" s="4" t="s">
        <v>111</v>
      </c>
      <c r="C40" s="3">
        <v>6</v>
      </c>
      <c r="D40" s="9">
        <f t="shared" si="0"/>
        <v>2.6315789473684209E-2</v>
      </c>
    </row>
    <row r="41" spans="2:4" x14ac:dyDescent="0.35">
      <c r="B41" s="4" t="s">
        <v>71</v>
      </c>
      <c r="C41" s="3">
        <v>3</v>
      </c>
      <c r="D41" s="9">
        <f t="shared" si="0"/>
        <v>1.3157894736842105E-2</v>
      </c>
    </row>
    <row r="42" spans="2:4" x14ac:dyDescent="0.35">
      <c r="B42" s="4" t="s">
        <v>67</v>
      </c>
      <c r="C42" s="3">
        <v>2</v>
      </c>
      <c r="D42" s="9">
        <f t="shared" si="0"/>
        <v>8.771929824561403E-3</v>
      </c>
    </row>
    <row r="43" spans="2:4" x14ac:dyDescent="0.35">
      <c r="B43" s="4" t="s">
        <v>139</v>
      </c>
      <c r="C43" s="3">
        <v>2</v>
      </c>
      <c r="D43" s="9">
        <f t="shared" si="0"/>
        <v>8.771929824561403E-3</v>
      </c>
    </row>
    <row r="44" spans="2:4" x14ac:dyDescent="0.35">
      <c r="B44" s="4" t="s">
        <v>57</v>
      </c>
      <c r="C44" s="3">
        <v>2</v>
      </c>
      <c r="D44" s="9">
        <f t="shared" si="0"/>
        <v>8.771929824561403E-3</v>
      </c>
    </row>
    <row r="45" spans="2:4" x14ac:dyDescent="0.35">
      <c r="B45" s="4" t="s">
        <v>14</v>
      </c>
      <c r="C45" s="3">
        <v>3</v>
      </c>
      <c r="D45" s="9">
        <f t="shared" si="0"/>
        <v>1.3157894736842105E-2</v>
      </c>
    </row>
    <row r="46" spans="2:4" x14ac:dyDescent="0.35">
      <c r="B46" s="4" t="s">
        <v>12</v>
      </c>
      <c r="C46" s="3">
        <v>3</v>
      </c>
      <c r="D46" s="9">
        <f t="shared" si="0"/>
        <v>1.3157894736842105E-2</v>
      </c>
    </row>
    <row r="47" spans="2:4" x14ac:dyDescent="0.35">
      <c r="B47" s="4" t="s">
        <v>47</v>
      </c>
      <c r="C47" s="3">
        <v>6</v>
      </c>
      <c r="D47" s="9">
        <f t="shared" si="0"/>
        <v>2.6315789473684209E-2</v>
      </c>
    </row>
    <row r="48" spans="2:4" x14ac:dyDescent="0.35">
      <c r="B48" s="4" t="s">
        <v>82</v>
      </c>
      <c r="C48" s="3">
        <v>4</v>
      </c>
      <c r="D48" s="9">
        <f t="shared" si="0"/>
        <v>1.7543859649122806E-2</v>
      </c>
    </row>
    <row r="49" spans="2:4" x14ac:dyDescent="0.35">
      <c r="B49" s="4" t="s">
        <v>122</v>
      </c>
      <c r="C49" s="3">
        <v>2</v>
      </c>
      <c r="D49" s="9">
        <f t="shared" si="0"/>
        <v>8.771929824561403E-3</v>
      </c>
    </row>
    <row r="50" spans="2:4" x14ac:dyDescent="0.35">
      <c r="B50" s="4" t="s">
        <v>28</v>
      </c>
      <c r="C50" s="3">
        <v>1</v>
      </c>
      <c r="D50" s="9">
        <f t="shared" si="0"/>
        <v>4.3859649122807015E-3</v>
      </c>
    </row>
    <row r="51" spans="2:4" x14ac:dyDescent="0.35">
      <c r="B51" s="4" t="s">
        <v>98</v>
      </c>
      <c r="C51" s="3">
        <v>1</v>
      </c>
      <c r="D51" s="9">
        <f t="shared" si="0"/>
        <v>4.3859649122807015E-3</v>
      </c>
    </row>
    <row r="52" spans="2:4" x14ac:dyDescent="0.35">
      <c r="B52" s="4" t="s">
        <v>25</v>
      </c>
      <c r="C52" s="3">
        <v>5</v>
      </c>
      <c r="D52" s="9">
        <f t="shared" si="0"/>
        <v>2.1929824561403508E-2</v>
      </c>
    </row>
    <row r="53" spans="2:4" x14ac:dyDescent="0.35">
      <c r="B53" s="4" t="s">
        <v>112</v>
      </c>
      <c r="C53" s="3">
        <v>2</v>
      </c>
      <c r="D53" s="9">
        <f t="shared" si="0"/>
        <v>8.771929824561403E-3</v>
      </c>
    </row>
    <row r="54" spans="2:4" x14ac:dyDescent="0.35">
      <c r="B54" s="4" t="s">
        <v>51</v>
      </c>
      <c r="C54" s="3">
        <v>4</v>
      </c>
      <c r="D54" s="9">
        <f t="shared" si="0"/>
        <v>1.7543859649122806E-2</v>
      </c>
    </row>
    <row r="55" spans="2:4" x14ac:dyDescent="0.35">
      <c r="B55" s="4" t="s">
        <v>99</v>
      </c>
      <c r="C55" s="3">
        <v>8</v>
      </c>
      <c r="D55" s="9">
        <f t="shared" si="0"/>
        <v>3.5087719298245612E-2</v>
      </c>
    </row>
    <row r="56" spans="2:4" x14ac:dyDescent="0.35">
      <c r="B56" s="4" t="s">
        <v>36</v>
      </c>
      <c r="C56" s="3">
        <v>1</v>
      </c>
      <c r="D56" s="9">
        <f t="shared" si="0"/>
        <v>4.3859649122807015E-3</v>
      </c>
    </row>
    <row r="57" spans="2:4" x14ac:dyDescent="0.35">
      <c r="B57" s="4" t="s">
        <v>73</v>
      </c>
      <c r="C57" s="3">
        <v>4</v>
      </c>
      <c r="D57" s="9">
        <f t="shared" si="0"/>
        <v>1.7543859649122806E-2</v>
      </c>
    </row>
    <row r="58" spans="2:4" x14ac:dyDescent="0.35">
      <c r="B58" s="4" t="s">
        <v>9</v>
      </c>
      <c r="C58" s="3">
        <v>3</v>
      </c>
      <c r="D58" s="9">
        <f t="shared" si="0"/>
        <v>1.3157894736842105E-2</v>
      </c>
    </row>
    <row r="59" spans="2:4" x14ac:dyDescent="0.35">
      <c r="B59" s="4" t="s">
        <v>118</v>
      </c>
      <c r="C59" s="3">
        <v>1</v>
      </c>
      <c r="D59" s="9">
        <f t="shared" si="0"/>
        <v>4.3859649122807015E-3</v>
      </c>
    </row>
    <row r="60" spans="2:4" x14ac:dyDescent="0.35">
      <c r="B60" s="4" t="s">
        <v>23</v>
      </c>
      <c r="C60" s="3">
        <v>1</v>
      </c>
      <c r="D60" s="9">
        <f t="shared" si="0"/>
        <v>4.3859649122807015E-3</v>
      </c>
    </row>
    <row r="61" spans="2:4" x14ac:dyDescent="0.35">
      <c r="B61" s="4" t="s">
        <v>5</v>
      </c>
      <c r="C61" s="3">
        <v>5</v>
      </c>
      <c r="D61" s="9">
        <f t="shared" si="0"/>
        <v>2.1929824561403508E-2</v>
      </c>
    </row>
    <row r="62" spans="2:4" x14ac:dyDescent="0.35">
      <c r="B62" s="4" t="s">
        <v>42</v>
      </c>
      <c r="C62" s="3">
        <v>2</v>
      </c>
      <c r="D62" s="9">
        <f t="shared" si="0"/>
        <v>8.771929824561403E-3</v>
      </c>
    </row>
    <row r="63" spans="2:4" x14ac:dyDescent="0.35">
      <c r="B63" s="4" t="s">
        <v>27</v>
      </c>
      <c r="C63" s="3">
        <v>15</v>
      </c>
      <c r="D63" s="9">
        <f t="shared" si="0"/>
        <v>6.5789473684210523E-2</v>
      </c>
    </row>
    <row r="64" spans="2:4" x14ac:dyDescent="0.35">
      <c r="B64" s="4" t="s">
        <v>43</v>
      </c>
      <c r="C64" s="3">
        <v>1</v>
      </c>
      <c r="D64" s="9">
        <f t="shared" si="0"/>
        <v>4.3859649122807015E-3</v>
      </c>
    </row>
    <row r="65" spans="1:4" x14ac:dyDescent="0.35">
      <c r="B65" s="4" t="s">
        <v>83</v>
      </c>
      <c r="C65" s="3">
        <v>4</v>
      </c>
      <c r="D65" s="9">
        <f t="shared" si="0"/>
        <v>1.7543859649122806E-2</v>
      </c>
    </row>
    <row r="66" spans="1:4" x14ac:dyDescent="0.35">
      <c r="B66" s="4" t="s">
        <v>65</v>
      </c>
      <c r="C66" s="3">
        <v>4</v>
      </c>
      <c r="D66" s="9">
        <f t="shared" si="0"/>
        <v>1.7543859649122806E-2</v>
      </c>
    </row>
    <row r="67" spans="1:4" x14ac:dyDescent="0.35">
      <c r="B67" s="4" t="s">
        <v>372</v>
      </c>
      <c r="C67" s="3">
        <v>2</v>
      </c>
      <c r="D67" s="9">
        <f t="shared" si="0"/>
        <v>8.771929824561403E-3</v>
      </c>
    </row>
    <row r="68" spans="1:4" x14ac:dyDescent="0.35">
      <c r="A68" s="5" t="s">
        <v>422</v>
      </c>
      <c r="C68" s="3">
        <v>164</v>
      </c>
    </row>
    <row r="69" spans="1:4" x14ac:dyDescent="0.35">
      <c r="B69" s="4" t="s">
        <v>150</v>
      </c>
      <c r="C69" s="3">
        <v>2</v>
      </c>
      <c r="D69" s="9">
        <f>C69/164</f>
        <v>1.2195121951219513E-2</v>
      </c>
    </row>
    <row r="70" spans="1:4" x14ac:dyDescent="0.35">
      <c r="B70" s="4" t="s">
        <v>55</v>
      </c>
      <c r="C70" s="3">
        <v>6</v>
      </c>
      <c r="D70" s="9">
        <f t="shared" ref="D70:D127" si="1">C70/164</f>
        <v>3.6585365853658534E-2</v>
      </c>
    </row>
    <row r="71" spans="1:4" x14ac:dyDescent="0.35">
      <c r="B71" s="4" t="s">
        <v>283</v>
      </c>
      <c r="C71" s="3">
        <v>2</v>
      </c>
      <c r="D71" s="9">
        <f t="shared" si="1"/>
        <v>1.2195121951219513E-2</v>
      </c>
    </row>
    <row r="72" spans="1:4" x14ac:dyDescent="0.35">
      <c r="B72" s="4" t="s">
        <v>45</v>
      </c>
      <c r="C72" s="3">
        <v>4</v>
      </c>
      <c r="D72" s="9">
        <f t="shared" si="1"/>
        <v>2.4390243902439025E-2</v>
      </c>
    </row>
    <row r="73" spans="1:4" x14ac:dyDescent="0.35">
      <c r="B73" s="4" t="s">
        <v>317</v>
      </c>
      <c r="C73" s="3">
        <v>7</v>
      </c>
      <c r="D73" s="9">
        <f t="shared" si="1"/>
        <v>4.2682926829268296E-2</v>
      </c>
    </row>
    <row r="74" spans="1:4" x14ac:dyDescent="0.35">
      <c r="B74" s="4" t="s">
        <v>8</v>
      </c>
      <c r="C74" s="3">
        <v>2</v>
      </c>
      <c r="D74" s="9">
        <f t="shared" si="1"/>
        <v>1.2195121951219513E-2</v>
      </c>
    </row>
    <row r="75" spans="1:4" x14ac:dyDescent="0.35">
      <c r="B75" s="4" t="s">
        <v>394</v>
      </c>
      <c r="C75" s="3">
        <v>1</v>
      </c>
      <c r="D75" s="9">
        <f t="shared" si="1"/>
        <v>6.0975609756097563E-3</v>
      </c>
    </row>
    <row r="76" spans="1:4" x14ac:dyDescent="0.35">
      <c r="B76" s="4" t="s">
        <v>29</v>
      </c>
      <c r="C76" s="3">
        <v>5</v>
      </c>
      <c r="D76" s="9">
        <f t="shared" si="1"/>
        <v>3.048780487804878E-2</v>
      </c>
    </row>
    <row r="77" spans="1:4" x14ac:dyDescent="0.35">
      <c r="B77" s="4" t="s">
        <v>152</v>
      </c>
      <c r="C77" s="3">
        <v>2</v>
      </c>
      <c r="D77" s="9">
        <f t="shared" si="1"/>
        <v>1.2195121951219513E-2</v>
      </c>
    </row>
    <row r="78" spans="1:4" x14ac:dyDescent="0.35">
      <c r="B78" s="4" t="s">
        <v>56</v>
      </c>
      <c r="C78" s="3">
        <v>1</v>
      </c>
      <c r="D78" s="9">
        <f t="shared" si="1"/>
        <v>6.0975609756097563E-3</v>
      </c>
    </row>
    <row r="79" spans="1:4" x14ac:dyDescent="0.35">
      <c r="B79" s="4" t="s">
        <v>13</v>
      </c>
      <c r="C79" s="3">
        <v>2</v>
      </c>
      <c r="D79" s="9">
        <f t="shared" si="1"/>
        <v>1.2195121951219513E-2</v>
      </c>
    </row>
    <row r="80" spans="1:4" x14ac:dyDescent="0.35">
      <c r="B80" s="4" t="s">
        <v>101</v>
      </c>
      <c r="C80" s="3">
        <v>2</v>
      </c>
      <c r="D80" s="9">
        <f t="shared" si="1"/>
        <v>1.2195121951219513E-2</v>
      </c>
    </row>
    <row r="81" spans="2:4" x14ac:dyDescent="0.35">
      <c r="B81" s="4" t="s">
        <v>316</v>
      </c>
      <c r="C81" s="3">
        <v>1</v>
      </c>
      <c r="D81" s="9">
        <f t="shared" si="1"/>
        <v>6.0975609756097563E-3</v>
      </c>
    </row>
    <row r="82" spans="2:4" x14ac:dyDescent="0.35">
      <c r="B82" s="4" t="s">
        <v>50</v>
      </c>
      <c r="C82" s="3">
        <v>1</v>
      </c>
      <c r="D82" s="9">
        <f t="shared" si="1"/>
        <v>6.0975609756097563E-3</v>
      </c>
    </row>
    <row r="83" spans="2:4" x14ac:dyDescent="0.35">
      <c r="B83" s="4" t="s">
        <v>53</v>
      </c>
      <c r="C83" s="3">
        <v>2</v>
      </c>
      <c r="D83" s="9">
        <f t="shared" si="1"/>
        <v>1.2195121951219513E-2</v>
      </c>
    </row>
    <row r="84" spans="2:4" x14ac:dyDescent="0.35">
      <c r="B84" s="4" t="s">
        <v>26</v>
      </c>
      <c r="C84" s="3">
        <v>4</v>
      </c>
      <c r="D84" s="9">
        <f t="shared" si="1"/>
        <v>2.4390243902439025E-2</v>
      </c>
    </row>
    <row r="85" spans="2:4" x14ac:dyDescent="0.35">
      <c r="B85" s="4" t="s">
        <v>89</v>
      </c>
      <c r="C85" s="3">
        <v>2</v>
      </c>
      <c r="D85" s="9">
        <f t="shared" si="1"/>
        <v>1.2195121951219513E-2</v>
      </c>
    </row>
    <row r="86" spans="2:4" x14ac:dyDescent="0.35">
      <c r="B86" s="4" t="s">
        <v>33</v>
      </c>
      <c r="C86" s="3">
        <v>3</v>
      </c>
      <c r="D86" s="9">
        <f t="shared" si="1"/>
        <v>1.8292682926829267E-2</v>
      </c>
    </row>
    <row r="87" spans="2:4" x14ac:dyDescent="0.35">
      <c r="B87" s="4" t="s">
        <v>19</v>
      </c>
      <c r="C87" s="3">
        <v>1</v>
      </c>
      <c r="D87" s="9">
        <f t="shared" si="1"/>
        <v>6.0975609756097563E-3</v>
      </c>
    </row>
    <row r="88" spans="2:4" x14ac:dyDescent="0.35">
      <c r="B88" s="4" t="s">
        <v>86</v>
      </c>
      <c r="C88" s="3">
        <v>1</v>
      </c>
      <c r="D88" s="9">
        <f t="shared" si="1"/>
        <v>6.0975609756097563E-3</v>
      </c>
    </row>
    <row r="89" spans="2:4" x14ac:dyDescent="0.35">
      <c r="B89" s="4" t="s">
        <v>134</v>
      </c>
      <c r="C89" s="3">
        <v>6</v>
      </c>
      <c r="D89" s="9">
        <f t="shared" si="1"/>
        <v>3.6585365853658534E-2</v>
      </c>
    </row>
    <row r="90" spans="2:4" x14ac:dyDescent="0.35">
      <c r="B90" s="4" t="s">
        <v>80</v>
      </c>
      <c r="C90" s="3">
        <v>5</v>
      </c>
      <c r="D90" s="9">
        <f t="shared" si="1"/>
        <v>3.048780487804878E-2</v>
      </c>
    </row>
    <row r="91" spans="2:4" x14ac:dyDescent="0.35">
      <c r="B91" s="4" t="s">
        <v>84</v>
      </c>
      <c r="C91" s="3">
        <v>2</v>
      </c>
      <c r="D91" s="9">
        <f t="shared" si="1"/>
        <v>1.2195121951219513E-2</v>
      </c>
    </row>
    <row r="92" spans="2:4" x14ac:dyDescent="0.35">
      <c r="B92" s="4" t="s">
        <v>97</v>
      </c>
      <c r="C92" s="3">
        <v>1</v>
      </c>
      <c r="D92" s="9">
        <f t="shared" si="1"/>
        <v>6.0975609756097563E-3</v>
      </c>
    </row>
    <row r="93" spans="2:4" x14ac:dyDescent="0.35">
      <c r="B93" s="4" t="s">
        <v>145</v>
      </c>
      <c r="C93" s="3">
        <v>1</v>
      </c>
      <c r="D93" s="9">
        <f t="shared" si="1"/>
        <v>6.0975609756097563E-3</v>
      </c>
    </row>
    <row r="94" spans="2:4" x14ac:dyDescent="0.35">
      <c r="B94" s="4" t="s">
        <v>81</v>
      </c>
      <c r="C94" s="3">
        <v>5</v>
      </c>
      <c r="D94" s="9">
        <f t="shared" si="1"/>
        <v>3.048780487804878E-2</v>
      </c>
    </row>
    <row r="95" spans="2:4" x14ac:dyDescent="0.35">
      <c r="B95" s="4" t="s">
        <v>168</v>
      </c>
      <c r="C95" s="3">
        <v>2</v>
      </c>
      <c r="D95" s="9">
        <f t="shared" si="1"/>
        <v>1.2195121951219513E-2</v>
      </c>
    </row>
    <row r="96" spans="2:4" x14ac:dyDescent="0.35">
      <c r="B96" s="4" t="s">
        <v>91</v>
      </c>
      <c r="C96" s="3">
        <v>4</v>
      </c>
      <c r="D96" s="9">
        <f t="shared" si="1"/>
        <v>2.4390243902439025E-2</v>
      </c>
    </row>
    <row r="97" spans="2:4" x14ac:dyDescent="0.35">
      <c r="B97" s="4" t="s">
        <v>401</v>
      </c>
      <c r="C97" s="3">
        <v>2</v>
      </c>
      <c r="D97" s="9">
        <f t="shared" si="1"/>
        <v>1.2195121951219513E-2</v>
      </c>
    </row>
    <row r="98" spans="2:4" x14ac:dyDescent="0.35">
      <c r="B98" s="4" t="s">
        <v>167</v>
      </c>
      <c r="C98" s="3">
        <v>1</v>
      </c>
      <c r="D98" s="9">
        <f t="shared" si="1"/>
        <v>6.0975609756097563E-3</v>
      </c>
    </row>
    <row r="99" spans="2:4" x14ac:dyDescent="0.35">
      <c r="B99" s="4" t="s">
        <v>381</v>
      </c>
      <c r="C99" s="3">
        <v>2</v>
      </c>
      <c r="D99" s="9">
        <f t="shared" si="1"/>
        <v>1.2195121951219513E-2</v>
      </c>
    </row>
    <row r="100" spans="2:4" x14ac:dyDescent="0.35">
      <c r="B100" s="4" t="s">
        <v>49</v>
      </c>
      <c r="C100" s="3">
        <v>4</v>
      </c>
      <c r="D100" s="9">
        <f t="shared" si="1"/>
        <v>2.4390243902439025E-2</v>
      </c>
    </row>
    <row r="101" spans="2:4" x14ac:dyDescent="0.35">
      <c r="B101" s="4" t="s">
        <v>120</v>
      </c>
      <c r="C101" s="3">
        <v>1</v>
      </c>
      <c r="D101" s="9">
        <f t="shared" si="1"/>
        <v>6.0975609756097563E-3</v>
      </c>
    </row>
    <row r="102" spans="2:4" x14ac:dyDescent="0.35">
      <c r="B102" s="4" t="s">
        <v>111</v>
      </c>
      <c r="C102" s="3">
        <v>2</v>
      </c>
      <c r="D102" s="9">
        <f t="shared" si="1"/>
        <v>1.2195121951219513E-2</v>
      </c>
    </row>
    <row r="103" spans="2:4" x14ac:dyDescent="0.35">
      <c r="B103" s="4" t="s">
        <v>10</v>
      </c>
      <c r="C103" s="3">
        <v>1</v>
      </c>
      <c r="D103" s="9">
        <f t="shared" si="1"/>
        <v>6.0975609756097563E-3</v>
      </c>
    </row>
    <row r="104" spans="2:4" x14ac:dyDescent="0.35">
      <c r="B104" s="4" t="s">
        <v>67</v>
      </c>
      <c r="C104" s="3">
        <v>2</v>
      </c>
      <c r="D104" s="9">
        <f t="shared" si="1"/>
        <v>1.2195121951219513E-2</v>
      </c>
    </row>
    <row r="105" spans="2:4" x14ac:dyDescent="0.35">
      <c r="B105" s="4" t="s">
        <v>139</v>
      </c>
      <c r="C105" s="3">
        <v>1</v>
      </c>
      <c r="D105" s="9">
        <f t="shared" si="1"/>
        <v>6.0975609756097563E-3</v>
      </c>
    </row>
    <row r="106" spans="2:4" x14ac:dyDescent="0.35">
      <c r="B106" s="4" t="s">
        <v>57</v>
      </c>
      <c r="C106" s="3">
        <v>2</v>
      </c>
      <c r="D106" s="9">
        <f t="shared" si="1"/>
        <v>1.2195121951219513E-2</v>
      </c>
    </row>
    <row r="107" spans="2:4" x14ac:dyDescent="0.35">
      <c r="B107" s="4" t="s">
        <v>14</v>
      </c>
      <c r="C107" s="3">
        <v>1</v>
      </c>
      <c r="D107" s="9">
        <f t="shared" si="1"/>
        <v>6.0975609756097563E-3</v>
      </c>
    </row>
    <row r="108" spans="2:4" x14ac:dyDescent="0.35">
      <c r="B108" s="4" t="s">
        <v>12</v>
      </c>
      <c r="C108" s="3">
        <v>4</v>
      </c>
      <c r="D108" s="9">
        <f t="shared" si="1"/>
        <v>2.4390243902439025E-2</v>
      </c>
    </row>
    <row r="109" spans="2:4" x14ac:dyDescent="0.35">
      <c r="B109" s="4" t="s">
        <v>47</v>
      </c>
      <c r="C109" s="3">
        <v>3</v>
      </c>
      <c r="D109" s="9">
        <f t="shared" si="1"/>
        <v>1.8292682926829267E-2</v>
      </c>
    </row>
    <row r="110" spans="2:4" x14ac:dyDescent="0.35">
      <c r="B110" s="4" t="s">
        <v>39</v>
      </c>
      <c r="C110" s="3">
        <v>6</v>
      </c>
      <c r="D110" s="9">
        <f t="shared" si="1"/>
        <v>3.6585365853658534E-2</v>
      </c>
    </row>
    <row r="111" spans="2:4" x14ac:dyDescent="0.35">
      <c r="B111" s="4" t="s">
        <v>82</v>
      </c>
      <c r="C111" s="3">
        <v>3</v>
      </c>
      <c r="D111" s="9">
        <f t="shared" si="1"/>
        <v>1.8292682926829267E-2</v>
      </c>
    </row>
    <row r="112" spans="2:4" x14ac:dyDescent="0.35">
      <c r="B112" s="4" t="s">
        <v>122</v>
      </c>
      <c r="C112" s="3">
        <v>2</v>
      </c>
      <c r="D112" s="9">
        <f t="shared" si="1"/>
        <v>1.2195121951219513E-2</v>
      </c>
    </row>
    <row r="113" spans="1:4" x14ac:dyDescent="0.35">
      <c r="B113" s="4" t="s">
        <v>98</v>
      </c>
      <c r="C113" s="3">
        <v>1</v>
      </c>
      <c r="D113" s="9">
        <f t="shared" si="1"/>
        <v>6.0975609756097563E-3</v>
      </c>
    </row>
    <row r="114" spans="1:4" x14ac:dyDescent="0.35">
      <c r="B114" s="4" t="s">
        <v>25</v>
      </c>
      <c r="C114" s="3">
        <v>11</v>
      </c>
      <c r="D114" s="9">
        <f t="shared" si="1"/>
        <v>6.7073170731707321E-2</v>
      </c>
    </row>
    <row r="115" spans="1:4" x14ac:dyDescent="0.35">
      <c r="B115" s="4" t="s">
        <v>112</v>
      </c>
      <c r="C115" s="3">
        <v>2</v>
      </c>
      <c r="D115" s="9">
        <f t="shared" si="1"/>
        <v>1.2195121951219513E-2</v>
      </c>
    </row>
    <row r="116" spans="1:4" x14ac:dyDescent="0.35">
      <c r="B116" s="4" t="s">
        <v>51</v>
      </c>
      <c r="C116" s="3">
        <v>3</v>
      </c>
      <c r="D116" s="9">
        <f t="shared" si="1"/>
        <v>1.8292682926829267E-2</v>
      </c>
    </row>
    <row r="117" spans="1:4" x14ac:dyDescent="0.35">
      <c r="B117" s="4" t="s">
        <v>40</v>
      </c>
      <c r="C117" s="3">
        <v>1</v>
      </c>
      <c r="D117" s="9">
        <f t="shared" si="1"/>
        <v>6.0975609756097563E-3</v>
      </c>
    </row>
    <row r="118" spans="1:4" x14ac:dyDescent="0.35">
      <c r="B118" s="4" t="s">
        <v>99</v>
      </c>
      <c r="C118" s="3">
        <v>7</v>
      </c>
      <c r="D118" s="9">
        <f t="shared" si="1"/>
        <v>4.2682926829268296E-2</v>
      </c>
    </row>
    <row r="119" spans="1:4" x14ac:dyDescent="0.35">
      <c r="B119" s="4" t="s">
        <v>36</v>
      </c>
      <c r="C119" s="3">
        <v>3</v>
      </c>
      <c r="D119" s="9">
        <f t="shared" si="1"/>
        <v>1.8292682926829267E-2</v>
      </c>
    </row>
    <row r="120" spans="1:4" x14ac:dyDescent="0.35">
      <c r="B120" s="4" t="s">
        <v>73</v>
      </c>
      <c r="C120" s="3">
        <v>4</v>
      </c>
      <c r="D120" s="9">
        <f t="shared" si="1"/>
        <v>2.4390243902439025E-2</v>
      </c>
    </row>
    <row r="121" spans="1:4" x14ac:dyDescent="0.35">
      <c r="B121" s="4" t="s">
        <v>9</v>
      </c>
      <c r="C121" s="3">
        <v>1</v>
      </c>
      <c r="D121" s="9">
        <f t="shared" si="1"/>
        <v>6.0975609756097563E-3</v>
      </c>
    </row>
    <row r="122" spans="1:4" x14ac:dyDescent="0.35">
      <c r="B122" s="4" t="s">
        <v>23</v>
      </c>
      <c r="C122" s="3">
        <v>1</v>
      </c>
      <c r="D122" s="9">
        <f t="shared" si="1"/>
        <v>6.0975609756097563E-3</v>
      </c>
    </row>
    <row r="123" spans="1:4" x14ac:dyDescent="0.35">
      <c r="B123" s="4" t="s">
        <v>5</v>
      </c>
      <c r="C123" s="3">
        <v>4</v>
      </c>
      <c r="D123" s="9">
        <f t="shared" si="1"/>
        <v>2.4390243902439025E-2</v>
      </c>
    </row>
    <row r="124" spans="1:4" x14ac:dyDescent="0.35">
      <c r="B124" s="4" t="s">
        <v>42</v>
      </c>
      <c r="C124" s="3">
        <v>1</v>
      </c>
      <c r="D124" s="9">
        <f t="shared" si="1"/>
        <v>6.0975609756097563E-3</v>
      </c>
    </row>
    <row r="125" spans="1:4" x14ac:dyDescent="0.35">
      <c r="B125" s="4" t="s">
        <v>83</v>
      </c>
      <c r="C125" s="3">
        <v>7</v>
      </c>
      <c r="D125" s="9">
        <f t="shared" si="1"/>
        <v>4.2682926829268296E-2</v>
      </c>
    </row>
    <row r="126" spans="1:4" x14ac:dyDescent="0.35">
      <c r="B126" s="4" t="s">
        <v>65</v>
      </c>
      <c r="C126" s="3">
        <v>2</v>
      </c>
      <c r="D126" s="9">
        <f t="shared" si="1"/>
        <v>1.2195121951219513E-2</v>
      </c>
    </row>
    <row r="127" spans="1:4" x14ac:dyDescent="0.35">
      <c r="B127" s="4" t="s">
        <v>372</v>
      </c>
      <c r="C127" s="3">
        <v>2</v>
      </c>
      <c r="D127" s="9">
        <f t="shared" si="1"/>
        <v>1.2195121951219513E-2</v>
      </c>
    </row>
    <row r="128" spans="1:4" x14ac:dyDescent="0.35">
      <c r="A128" s="5" t="s">
        <v>423</v>
      </c>
      <c r="C128" s="3">
        <v>191</v>
      </c>
    </row>
    <row r="129" spans="2:4" x14ac:dyDescent="0.35">
      <c r="B129" s="4" t="s">
        <v>150</v>
      </c>
      <c r="C129" s="3">
        <v>2</v>
      </c>
      <c r="D129" s="9">
        <f>C129/191</f>
        <v>1.0471204188481676E-2</v>
      </c>
    </row>
    <row r="130" spans="2:4" x14ac:dyDescent="0.35">
      <c r="B130" s="4" t="s">
        <v>55</v>
      </c>
      <c r="C130" s="3">
        <v>2</v>
      </c>
      <c r="D130" s="9">
        <f t="shared" ref="D130:D193" si="2">C130/191</f>
        <v>1.0471204188481676E-2</v>
      </c>
    </row>
    <row r="131" spans="2:4" x14ac:dyDescent="0.35">
      <c r="B131" s="4" t="s">
        <v>22</v>
      </c>
      <c r="C131" s="3">
        <v>2</v>
      </c>
      <c r="D131" s="9">
        <f t="shared" si="2"/>
        <v>1.0471204188481676E-2</v>
      </c>
    </row>
    <row r="132" spans="2:4" x14ac:dyDescent="0.35">
      <c r="B132" s="4" t="s">
        <v>45</v>
      </c>
      <c r="C132" s="3">
        <v>5</v>
      </c>
      <c r="D132" s="9">
        <f t="shared" si="2"/>
        <v>2.6178010471204188E-2</v>
      </c>
    </row>
    <row r="133" spans="2:4" x14ac:dyDescent="0.35">
      <c r="B133" s="4" t="s">
        <v>317</v>
      </c>
      <c r="C133" s="3">
        <v>6</v>
      </c>
      <c r="D133" s="9">
        <f t="shared" si="2"/>
        <v>3.1413612565445025E-2</v>
      </c>
    </row>
    <row r="134" spans="2:4" x14ac:dyDescent="0.35">
      <c r="B134" s="4" t="s">
        <v>8</v>
      </c>
      <c r="C134" s="3">
        <v>3</v>
      </c>
      <c r="D134" s="9">
        <f t="shared" si="2"/>
        <v>1.5706806282722512E-2</v>
      </c>
    </row>
    <row r="135" spans="2:4" x14ac:dyDescent="0.35">
      <c r="B135" s="4" t="s">
        <v>75</v>
      </c>
      <c r="C135" s="3">
        <v>1</v>
      </c>
      <c r="D135" s="9">
        <f t="shared" si="2"/>
        <v>5.235602094240838E-3</v>
      </c>
    </row>
    <row r="136" spans="2:4" x14ac:dyDescent="0.35">
      <c r="B136" s="4" t="s">
        <v>394</v>
      </c>
      <c r="C136" s="3">
        <v>1</v>
      </c>
      <c r="D136" s="9">
        <f t="shared" si="2"/>
        <v>5.235602094240838E-3</v>
      </c>
    </row>
    <row r="137" spans="2:4" x14ac:dyDescent="0.35">
      <c r="B137" s="4" t="s">
        <v>29</v>
      </c>
      <c r="C137" s="3">
        <v>4</v>
      </c>
      <c r="D137" s="9">
        <f t="shared" si="2"/>
        <v>2.0942408376963352E-2</v>
      </c>
    </row>
    <row r="138" spans="2:4" x14ac:dyDescent="0.35">
      <c r="B138" s="4" t="s">
        <v>152</v>
      </c>
      <c r="C138" s="3">
        <v>2</v>
      </c>
      <c r="D138" s="9">
        <f t="shared" si="2"/>
        <v>1.0471204188481676E-2</v>
      </c>
    </row>
    <row r="139" spans="2:4" x14ac:dyDescent="0.35">
      <c r="B139" s="4" t="s">
        <v>56</v>
      </c>
      <c r="C139" s="3">
        <v>2</v>
      </c>
      <c r="D139" s="9">
        <f t="shared" si="2"/>
        <v>1.0471204188481676E-2</v>
      </c>
    </row>
    <row r="140" spans="2:4" x14ac:dyDescent="0.35">
      <c r="B140" s="4" t="s">
        <v>156</v>
      </c>
      <c r="C140" s="3">
        <v>2</v>
      </c>
      <c r="D140" s="9">
        <f t="shared" si="2"/>
        <v>1.0471204188481676E-2</v>
      </c>
    </row>
    <row r="141" spans="2:4" x14ac:dyDescent="0.35">
      <c r="B141" s="4" t="s">
        <v>101</v>
      </c>
      <c r="C141" s="3">
        <v>1</v>
      </c>
      <c r="D141" s="9">
        <f t="shared" si="2"/>
        <v>5.235602094240838E-3</v>
      </c>
    </row>
    <row r="142" spans="2:4" x14ac:dyDescent="0.35">
      <c r="B142" s="4" t="s">
        <v>316</v>
      </c>
      <c r="C142" s="3">
        <v>3</v>
      </c>
      <c r="D142" s="9">
        <f t="shared" si="2"/>
        <v>1.5706806282722512E-2</v>
      </c>
    </row>
    <row r="143" spans="2:4" x14ac:dyDescent="0.35">
      <c r="B143" s="4" t="s">
        <v>50</v>
      </c>
      <c r="C143" s="3">
        <v>2</v>
      </c>
      <c r="D143" s="9">
        <f t="shared" si="2"/>
        <v>1.0471204188481676E-2</v>
      </c>
    </row>
    <row r="144" spans="2:4" x14ac:dyDescent="0.35">
      <c r="B144" s="4" t="s">
        <v>53</v>
      </c>
      <c r="C144" s="3">
        <v>2</v>
      </c>
      <c r="D144" s="9">
        <f t="shared" si="2"/>
        <v>1.0471204188481676E-2</v>
      </c>
    </row>
    <row r="145" spans="2:4" x14ac:dyDescent="0.35">
      <c r="B145" s="4" t="s">
        <v>26</v>
      </c>
      <c r="C145" s="3">
        <v>1</v>
      </c>
      <c r="D145" s="9">
        <f t="shared" si="2"/>
        <v>5.235602094240838E-3</v>
      </c>
    </row>
    <row r="146" spans="2:4" x14ac:dyDescent="0.35">
      <c r="B146" s="4" t="s">
        <v>191</v>
      </c>
      <c r="C146" s="3">
        <v>1</v>
      </c>
      <c r="D146" s="9">
        <f t="shared" si="2"/>
        <v>5.235602094240838E-3</v>
      </c>
    </row>
    <row r="147" spans="2:4" x14ac:dyDescent="0.35">
      <c r="B147" s="4" t="s">
        <v>89</v>
      </c>
      <c r="C147" s="3">
        <v>2</v>
      </c>
      <c r="D147" s="9">
        <f t="shared" si="2"/>
        <v>1.0471204188481676E-2</v>
      </c>
    </row>
    <row r="148" spans="2:4" x14ac:dyDescent="0.35">
      <c r="B148" s="4" t="s">
        <v>94</v>
      </c>
      <c r="C148" s="3">
        <v>1</v>
      </c>
      <c r="D148" s="9">
        <f t="shared" si="2"/>
        <v>5.235602094240838E-3</v>
      </c>
    </row>
    <row r="149" spans="2:4" x14ac:dyDescent="0.35">
      <c r="B149" s="4" t="s">
        <v>33</v>
      </c>
      <c r="C149" s="3">
        <v>2</v>
      </c>
      <c r="D149" s="9">
        <f t="shared" si="2"/>
        <v>1.0471204188481676E-2</v>
      </c>
    </row>
    <row r="150" spans="2:4" x14ac:dyDescent="0.35">
      <c r="B150" s="4" t="s">
        <v>86</v>
      </c>
      <c r="C150" s="3">
        <v>3</v>
      </c>
      <c r="D150" s="9">
        <f t="shared" si="2"/>
        <v>1.5706806282722512E-2</v>
      </c>
    </row>
    <row r="151" spans="2:4" x14ac:dyDescent="0.35">
      <c r="B151" s="4" t="s">
        <v>134</v>
      </c>
      <c r="C151" s="3">
        <v>7</v>
      </c>
      <c r="D151" s="9">
        <f t="shared" si="2"/>
        <v>3.6649214659685861E-2</v>
      </c>
    </row>
    <row r="152" spans="2:4" x14ac:dyDescent="0.35">
      <c r="B152" s="4" t="s">
        <v>80</v>
      </c>
      <c r="C152" s="3">
        <v>1</v>
      </c>
      <c r="D152" s="9">
        <f t="shared" si="2"/>
        <v>5.235602094240838E-3</v>
      </c>
    </row>
    <row r="153" spans="2:4" x14ac:dyDescent="0.35">
      <c r="B153" s="4" t="s">
        <v>84</v>
      </c>
      <c r="C153" s="3">
        <v>2</v>
      </c>
      <c r="D153" s="9">
        <f t="shared" si="2"/>
        <v>1.0471204188481676E-2</v>
      </c>
    </row>
    <row r="154" spans="2:4" x14ac:dyDescent="0.35">
      <c r="B154" s="4" t="s">
        <v>97</v>
      </c>
      <c r="C154" s="3">
        <v>3</v>
      </c>
      <c r="D154" s="9">
        <f t="shared" si="2"/>
        <v>1.5706806282722512E-2</v>
      </c>
    </row>
    <row r="155" spans="2:4" x14ac:dyDescent="0.35">
      <c r="B155" s="4" t="s">
        <v>145</v>
      </c>
      <c r="C155" s="3">
        <v>3</v>
      </c>
      <c r="D155" s="9">
        <f t="shared" si="2"/>
        <v>1.5706806282722512E-2</v>
      </c>
    </row>
    <row r="156" spans="2:4" x14ac:dyDescent="0.35">
      <c r="B156" s="4" t="s">
        <v>81</v>
      </c>
      <c r="C156" s="3">
        <v>7</v>
      </c>
      <c r="D156" s="9">
        <f t="shared" si="2"/>
        <v>3.6649214659685861E-2</v>
      </c>
    </row>
    <row r="157" spans="2:4" x14ac:dyDescent="0.35">
      <c r="B157" s="4" t="s">
        <v>168</v>
      </c>
      <c r="C157" s="3">
        <v>1</v>
      </c>
      <c r="D157" s="9">
        <f t="shared" si="2"/>
        <v>5.235602094240838E-3</v>
      </c>
    </row>
    <row r="158" spans="2:4" x14ac:dyDescent="0.35">
      <c r="B158" s="4" t="s">
        <v>91</v>
      </c>
      <c r="C158" s="3">
        <v>4</v>
      </c>
      <c r="D158" s="9">
        <f t="shared" si="2"/>
        <v>2.0942408376963352E-2</v>
      </c>
    </row>
    <row r="159" spans="2:4" x14ac:dyDescent="0.35">
      <c r="B159" s="4" t="s">
        <v>401</v>
      </c>
      <c r="C159" s="3">
        <v>1</v>
      </c>
      <c r="D159" s="9">
        <f t="shared" si="2"/>
        <v>5.235602094240838E-3</v>
      </c>
    </row>
    <row r="160" spans="2:4" x14ac:dyDescent="0.35">
      <c r="B160" s="4" t="s">
        <v>61</v>
      </c>
      <c r="C160" s="3">
        <v>1</v>
      </c>
      <c r="D160" s="9">
        <f t="shared" si="2"/>
        <v>5.235602094240838E-3</v>
      </c>
    </row>
    <row r="161" spans="2:4" x14ac:dyDescent="0.35">
      <c r="B161" s="4" t="s">
        <v>167</v>
      </c>
      <c r="C161" s="3">
        <v>4</v>
      </c>
      <c r="D161" s="9">
        <f t="shared" si="2"/>
        <v>2.0942408376963352E-2</v>
      </c>
    </row>
    <row r="162" spans="2:4" x14ac:dyDescent="0.35">
      <c r="B162" s="4" t="s">
        <v>381</v>
      </c>
      <c r="C162" s="3">
        <v>5</v>
      </c>
      <c r="D162" s="9">
        <f t="shared" si="2"/>
        <v>2.6178010471204188E-2</v>
      </c>
    </row>
    <row r="163" spans="2:4" x14ac:dyDescent="0.35">
      <c r="B163" s="4" t="s">
        <v>49</v>
      </c>
      <c r="C163" s="3">
        <v>6</v>
      </c>
      <c r="D163" s="9">
        <f t="shared" si="2"/>
        <v>3.1413612565445025E-2</v>
      </c>
    </row>
    <row r="164" spans="2:4" x14ac:dyDescent="0.35">
      <c r="B164" s="4" t="s">
        <v>120</v>
      </c>
      <c r="C164" s="3">
        <v>1</v>
      </c>
      <c r="D164" s="9">
        <f t="shared" si="2"/>
        <v>5.235602094240838E-3</v>
      </c>
    </row>
    <row r="165" spans="2:4" x14ac:dyDescent="0.35">
      <c r="B165" s="4" t="s">
        <v>111</v>
      </c>
      <c r="C165" s="3">
        <v>2</v>
      </c>
      <c r="D165" s="9">
        <f t="shared" si="2"/>
        <v>1.0471204188481676E-2</v>
      </c>
    </row>
    <row r="166" spans="2:4" x14ac:dyDescent="0.35">
      <c r="B166" s="4" t="s">
        <v>71</v>
      </c>
      <c r="C166" s="3">
        <v>3</v>
      </c>
      <c r="D166" s="9">
        <f t="shared" si="2"/>
        <v>1.5706806282722512E-2</v>
      </c>
    </row>
    <row r="167" spans="2:4" x14ac:dyDescent="0.35">
      <c r="B167" s="4" t="s">
        <v>78</v>
      </c>
      <c r="C167" s="3">
        <v>4</v>
      </c>
      <c r="D167" s="9">
        <f t="shared" si="2"/>
        <v>2.0942408376963352E-2</v>
      </c>
    </row>
    <row r="168" spans="2:4" x14ac:dyDescent="0.35">
      <c r="B168" s="4" t="s">
        <v>67</v>
      </c>
      <c r="C168" s="3">
        <v>1</v>
      </c>
      <c r="D168" s="9">
        <f t="shared" si="2"/>
        <v>5.235602094240838E-3</v>
      </c>
    </row>
    <row r="169" spans="2:4" x14ac:dyDescent="0.35">
      <c r="B169" s="4" t="s">
        <v>139</v>
      </c>
      <c r="C169" s="3">
        <v>3</v>
      </c>
      <c r="D169" s="9">
        <f t="shared" si="2"/>
        <v>1.5706806282722512E-2</v>
      </c>
    </row>
    <row r="170" spans="2:4" x14ac:dyDescent="0.35">
      <c r="B170" s="4" t="s">
        <v>57</v>
      </c>
      <c r="C170" s="3">
        <v>1</v>
      </c>
      <c r="D170" s="9">
        <f t="shared" si="2"/>
        <v>5.235602094240838E-3</v>
      </c>
    </row>
    <row r="171" spans="2:4" x14ac:dyDescent="0.35">
      <c r="B171" s="4" t="s">
        <v>116</v>
      </c>
      <c r="C171" s="3">
        <v>2</v>
      </c>
      <c r="D171" s="9">
        <f t="shared" si="2"/>
        <v>1.0471204188481676E-2</v>
      </c>
    </row>
    <row r="172" spans="2:4" x14ac:dyDescent="0.35">
      <c r="B172" s="4" t="s">
        <v>12</v>
      </c>
      <c r="C172" s="3">
        <v>5</v>
      </c>
      <c r="D172" s="9">
        <f t="shared" si="2"/>
        <v>2.6178010471204188E-2</v>
      </c>
    </row>
    <row r="173" spans="2:4" x14ac:dyDescent="0.35">
      <c r="B173" s="4" t="s">
        <v>47</v>
      </c>
      <c r="C173" s="3">
        <v>6</v>
      </c>
      <c r="D173" s="9">
        <f t="shared" si="2"/>
        <v>3.1413612565445025E-2</v>
      </c>
    </row>
    <row r="174" spans="2:4" x14ac:dyDescent="0.35">
      <c r="B174" s="4" t="s">
        <v>39</v>
      </c>
      <c r="C174" s="3">
        <v>8</v>
      </c>
      <c r="D174" s="9">
        <f t="shared" si="2"/>
        <v>4.1884816753926704E-2</v>
      </c>
    </row>
    <row r="175" spans="2:4" x14ac:dyDescent="0.35">
      <c r="B175" s="4" t="s">
        <v>82</v>
      </c>
      <c r="C175" s="3">
        <v>4</v>
      </c>
      <c r="D175" s="9">
        <f t="shared" si="2"/>
        <v>2.0942408376963352E-2</v>
      </c>
    </row>
    <row r="176" spans="2:4" x14ac:dyDescent="0.35">
      <c r="B176" s="4" t="s">
        <v>122</v>
      </c>
      <c r="C176" s="3">
        <v>1</v>
      </c>
      <c r="D176" s="9">
        <f t="shared" si="2"/>
        <v>5.235602094240838E-3</v>
      </c>
    </row>
    <row r="177" spans="2:4" x14ac:dyDescent="0.35">
      <c r="B177" s="4" t="s">
        <v>28</v>
      </c>
      <c r="C177" s="3">
        <v>1</v>
      </c>
      <c r="D177" s="9">
        <f t="shared" si="2"/>
        <v>5.235602094240838E-3</v>
      </c>
    </row>
    <row r="178" spans="2:4" x14ac:dyDescent="0.35">
      <c r="B178" s="4" t="s">
        <v>98</v>
      </c>
      <c r="C178" s="3">
        <v>3</v>
      </c>
      <c r="D178" s="9">
        <f t="shared" si="2"/>
        <v>1.5706806282722512E-2</v>
      </c>
    </row>
    <row r="179" spans="2:4" x14ac:dyDescent="0.35">
      <c r="B179" s="4" t="s">
        <v>25</v>
      </c>
      <c r="C179" s="3">
        <v>9</v>
      </c>
      <c r="D179" s="9">
        <f t="shared" si="2"/>
        <v>4.712041884816754E-2</v>
      </c>
    </row>
    <row r="180" spans="2:4" x14ac:dyDescent="0.35">
      <c r="B180" s="4" t="s">
        <v>112</v>
      </c>
      <c r="C180" s="3">
        <v>1</v>
      </c>
      <c r="D180" s="9">
        <f t="shared" si="2"/>
        <v>5.235602094240838E-3</v>
      </c>
    </row>
    <row r="181" spans="2:4" x14ac:dyDescent="0.35">
      <c r="B181" s="4" t="s">
        <v>51</v>
      </c>
      <c r="C181" s="3">
        <v>3</v>
      </c>
      <c r="D181" s="9">
        <f t="shared" si="2"/>
        <v>1.5706806282722512E-2</v>
      </c>
    </row>
    <row r="182" spans="2:4" x14ac:dyDescent="0.35">
      <c r="B182" s="4" t="s">
        <v>40</v>
      </c>
      <c r="C182" s="3">
        <v>2</v>
      </c>
      <c r="D182" s="9">
        <f t="shared" si="2"/>
        <v>1.0471204188481676E-2</v>
      </c>
    </row>
    <row r="183" spans="2:4" x14ac:dyDescent="0.35">
      <c r="B183" s="4" t="s">
        <v>99</v>
      </c>
      <c r="C183" s="3">
        <v>9</v>
      </c>
      <c r="D183" s="9">
        <f t="shared" si="2"/>
        <v>4.712041884816754E-2</v>
      </c>
    </row>
    <row r="184" spans="2:4" x14ac:dyDescent="0.35">
      <c r="B184" s="4" t="s">
        <v>36</v>
      </c>
      <c r="C184" s="3">
        <v>1</v>
      </c>
      <c r="D184" s="9">
        <f t="shared" si="2"/>
        <v>5.235602094240838E-3</v>
      </c>
    </row>
    <row r="185" spans="2:4" x14ac:dyDescent="0.35">
      <c r="B185" s="4" t="s">
        <v>73</v>
      </c>
      <c r="C185" s="3">
        <v>7</v>
      </c>
      <c r="D185" s="9">
        <f t="shared" si="2"/>
        <v>3.6649214659685861E-2</v>
      </c>
    </row>
    <row r="186" spans="2:4" x14ac:dyDescent="0.35">
      <c r="B186" s="4" t="s">
        <v>9</v>
      </c>
      <c r="C186" s="3">
        <v>2</v>
      </c>
      <c r="D186" s="9">
        <f t="shared" si="2"/>
        <v>1.0471204188481676E-2</v>
      </c>
    </row>
    <row r="187" spans="2:4" x14ac:dyDescent="0.35">
      <c r="B187" s="4" t="s">
        <v>23</v>
      </c>
      <c r="C187" s="3">
        <v>3</v>
      </c>
      <c r="D187" s="9">
        <f t="shared" si="2"/>
        <v>1.5706806282722512E-2</v>
      </c>
    </row>
    <row r="188" spans="2:4" x14ac:dyDescent="0.35">
      <c r="B188" s="4" t="s">
        <v>5</v>
      </c>
      <c r="C188" s="3">
        <v>2</v>
      </c>
      <c r="D188" s="9">
        <f t="shared" si="2"/>
        <v>1.0471204188481676E-2</v>
      </c>
    </row>
    <row r="189" spans="2:4" x14ac:dyDescent="0.35">
      <c r="B189" s="4" t="s">
        <v>96</v>
      </c>
      <c r="C189" s="3">
        <v>2</v>
      </c>
      <c r="D189" s="9">
        <f t="shared" si="2"/>
        <v>1.0471204188481676E-2</v>
      </c>
    </row>
    <row r="190" spans="2:4" x14ac:dyDescent="0.35">
      <c r="B190" s="4" t="s">
        <v>43</v>
      </c>
      <c r="C190" s="3">
        <v>1</v>
      </c>
      <c r="D190" s="9">
        <f t="shared" si="2"/>
        <v>5.235602094240838E-3</v>
      </c>
    </row>
    <row r="191" spans="2:4" x14ac:dyDescent="0.35">
      <c r="B191" s="4" t="s">
        <v>72</v>
      </c>
      <c r="C191" s="3">
        <v>1</v>
      </c>
      <c r="D191" s="9">
        <f t="shared" si="2"/>
        <v>5.235602094240838E-3</v>
      </c>
    </row>
    <row r="192" spans="2:4" x14ac:dyDescent="0.35">
      <c r="B192" s="4" t="s">
        <v>83</v>
      </c>
      <c r="C192" s="3">
        <v>4</v>
      </c>
      <c r="D192" s="9">
        <f t="shared" si="2"/>
        <v>2.0942408376963352E-2</v>
      </c>
    </row>
    <row r="193" spans="1:4" x14ac:dyDescent="0.35">
      <c r="B193" s="4" t="s">
        <v>65</v>
      </c>
      <c r="C193" s="3">
        <v>2</v>
      </c>
      <c r="D193" s="9">
        <f t="shared" si="2"/>
        <v>1.0471204188481676E-2</v>
      </c>
    </row>
    <row r="194" spans="1:4" x14ac:dyDescent="0.35">
      <c r="B194" s="4" t="s">
        <v>372</v>
      </c>
      <c r="C194" s="3">
        <v>2</v>
      </c>
      <c r="D194" s="9">
        <f t="shared" ref="D194" si="3">C194/191</f>
        <v>1.0471204188481676E-2</v>
      </c>
    </row>
    <row r="195" spans="1:4" x14ac:dyDescent="0.35">
      <c r="A195" s="5" t="s">
        <v>424</v>
      </c>
      <c r="C195" s="3">
        <v>172</v>
      </c>
    </row>
    <row r="196" spans="1:4" x14ac:dyDescent="0.35">
      <c r="B196" s="4" t="s">
        <v>150</v>
      </c>
      <c r="C196" s="3">
        <v>3</v>
      </c>
      <c r="D196" s="9">
        <f>C196/172</f>
        <v>1.7441860465116279E-2</v>
      </c>
    </row>
    <row r="197" spans="1:4" x14ac:dyDescent="0.35">
      <c r="B197" s="4" t="s">
        <v>55</v>
      </c>
      <c r="C197" s="3">
        <v>7</v>
      </c>
      <c r="D197" s="9">
        <f t="shared" ref="D197:D256" si="4">C197/172</f>
        <v>4.0697674418604654E-2</v>
      </c>
    </row>
    <row r="198" spans="1:4" x14ac:dyDescent="0.35">
      <c r="B198" s="4" t="s">
        <v>22</v>
      </c>
      <c r="C198" s="3">
        <v>2</v>
      </c>
      <c r="D198" s="9">
        <f t="shared" si="4"/>
        <v>1.1627906976744186E-2</v>
      </c>
    </row>
    <row r="199" spans="1:4" x14ac:dyDescent="0.35">
      <c r="B199" s="4" t="s">
        <v>45</v>
      </c>
      <c r="C199" s="3">
        <v>4</v>
      </c>
      <c r="D199" s="9">
        <f t="shared" si="4"/>
        <v>2.3255813953488372E-2</v>
      </c>
    </row>
    <row r="200" spans="1:4" x14ac:dyDescent="0.35">
      <c r="B200" s="4" t="s">
        <v>317</v>
      </c>
      <c r="C200" s="3">
        <v>4</v>
      </c>
      <c r="D200" s="9">
        <f t="shared" si="4"/>
        <v>2.3255813953488372E-2</v>
      </c>
    </row>
    <row r="201" spans="1:4" x14ac:dyDescent="0.35">
      <c r="B201" s="4" t="s">
        <v>8</v>
      </c>
      <c r="C201" s="3">
        <v>2</v>
      </c>
      <c r="D201" s="9">
        <f t="shared" si="4"/>
        <v>1.1627906976744186E-2</v>
      </c>
    </row>
    <row r="202" spans="1:4" x14ac:dyDescent="0.35">
      <c r="B202" s="4" t="s">
        <v>394</v>
      </c>
      <c r="C202" s="3">
        <v>2</v>
      </c>
      <c r="D202" s="9">
        <f t="shared" si="4"/>
        <v>1.1627906976744186E-2</v>
      </c>
    </row>
    <row r="203" spans="1:4" x14ac:dyDescent="0.35">
      <c r="B203" s="4" t="s">
        <v>29</v>
      </c>
      <c r="C203" s="3">
        <v>2</v>
      </c>
      <c r="D203" s="9">
        <f t="shared" si="4"/>
        <v>1.1627906976744186E-2</v>
      </c>
    </row>
    <row r="204" spans="1:4" x14ac:dyDescent="0.35">
      <c r="B204" s="4" t="s">
        <v>152</v>
      </c>
      <c r="C204" s="3">
        <v>3</v>
      </c>
      <c r="D204" s="9">
        <f t="shared" si="4"/>
        <v>1.7441860465116279E-2</v>
      </c>
    </row>
    <row r="205" spans="1:4" x14ac:dyDescent="0.35">
      <c r="B205" s="4" t="s">
        <v>101</v>
      </c>
      <c r="C205" s="3">
        <v>2</v>
      </c>
      <c r="D205" s="9">
        <f t="shared" si="4"/>
        <v>1.1627906976744186E-2</v>
      </c>
    </row>
    <row r="206" spans="1:4" x14ac:dyDescent="0.35">
      <c r="B206" s="4" t="s">
        <v>316</v>
      </c>
      <c r="C206" s="3">
        <v>1</v>
      </c>
      <c r="D206" s="9">
        <f t="shared" si="4"/>
        <v>5.8139534883720929E-3</v>
      </c>
    </row>
    <row r="207" spans="1:4" x14ac:dyDescent="0.35">
      <c r="B207" s="4" t="s">
        <v>50</v>
      </c>
      <c r="C207" s="3">
        <v>2</v>
      </c>
      <c r="D207" s="9">
        <f t="shared" si="4"/>
        <v>1.1627906976744186E-2</v>
      </c>
    </row>
    <row r="208" spans="1:4" x14ac:dyDescent="0.35">
      <c r="B208" s="4" t="s">
        <v>53</v>
      </c>
      <c r="C208" s="3">
        <v>1</v>
      </c>
      <c r="D208" s="9">
        <f t="shared" si="4"/>
        <v>5.8139534883720929E-3</v>
      </c>
    </row>
    <row r="209" spans="2:4" x14ac:dyDescent="0.35">
      <c r="B209" s="4" t="s">
        <v>26</v>
      </c>
      <c r="C209" s="3">
        <v>1</v>
      </c>
      <c r="D209" s="9">
        <f t="shared" si="4"/>
        <v>5.8139534883720929E-3</v>
      </c>
    </row>
    <row r="210" spans="2:4" x14ac:dyDescent="0.35">
      <c r="B210" s="4" t="s">
        <v>33</v>
      </c>
      <c r="C210" s="3">
        <v>3</v>
      </c>
      <c r="D210" s="9">
        <f t="shared" si="4"/>
        <v>1.7441860465116279E-2</v>
      </c>
    </row>
    <row r="211" spans="2:4" x14ac:dyDescent="0.35">
      <c r="B211" s="4" t="s">
        <v>19</v>
      </c>
      <c r="C211" s="3">
        <v>1</v>
      </c>
      <c r="D211" s="9">
        <f t="shared" si="4"/>
        <v>5.8139534883720929E-3</v>
      </c>
    </row>
    <row r="212" spans="2:4" x14ac:dyDescent="0.35">
      <c r="B212" s="4" t="s">
        <v>86</v>
      </c>
      <c r="C212" s="3">
        <v>1</v>
      </c>
      <c r="D212" s="9">
        <f t="shared" si="4"/>
        <v>5.8139534883720929E-3</v>
      </c>
    </row>
    <row r="213" spans="2:4" x14ac:dyDescent="0.35">
      <c r="B213" s="4" t="s">
        <v>134</v>
      </c>
      <c r="C213" s="3">
        <v>6</v>
      </c>
      <c r="D213" s="9">
        <f t="shared" si="4"/>
        <v>3.4883720930232558E-2</v>
      </c>
    </row>
    <row r="214" spans="2:4" x14ac:dyDescent="0.35">
      <c r="B214" s="4" t="s">
        <v>80</v>
      </c>
      <c r="C214" s="3">
        <v>3</v>
      </c>
      <c r="D214" s="9">
        <f t="shared" si="4"/>
        <v>1.7441860465116279E-2</v>
      </c>
    </row>
    <row r="215" spans="2:4" x14ac:dyDescent="0.35">
      <c r="B215" s="4" t="s">
        <v>84</v>
      </c>
      <c r="C215" s="3">
        <v>3</v>
      </c>
      <c r="D215" s="9">
        <f t="shared" si="4"/>
        <v>1.7441860465116279E-2</v>
      </c>
    </row>
    <row r="216" spans="2:4" x14ac:dyDescent="0.35">
      <c r="B216" s="4" t="s">
        <v>97</v>
      </c>
      <c r="C216" s="3">
        <v>3</v>
      </c>
      <c r="D216" s="9">
        <f t="shared" si="4"/>
        <v>1.7441860465116279E-2</v>
      </c>
    </row>
    <row r="217" spans="2:4" x14ac:dyDescent="0.35">
      <c r="B217" s="4" t="s">
        <v>145</v>
      </c>
      <c r="C217" s="3">
        <v>2</v>
      </c>
      <c r="D217" s="9">
        <f t="shared" si="4"/>
        <v>1.1627906976744186E-2</v>
      </c>
    </row>
    <row r="218" spans="2:4" x14ac:dyDescent="0.35">
      <c r="B218" s="4" t="s">
        <v>81</v>
      </c>
      <c r="C218" s="3">
        <v>1</v>
      </c>
      <c r="D218" s="9">
        <f t="shared" si="4"/>
        <v>5.8139534883720929E-3</v>
      </c>
    </row>
    <row r="219" spans="2:4" x14ac:dyDescent="0.35">
      <c r="B219" s="4" t="s">
        <v>168</v>
      </c>
      <c r="C219" s="3">
        <v>1</v>
      </c>
      <c r="D219" s="9">
        <f t="shared" si="4"/>
        <v>5.8139534883720929E-3</v>
      </c>
    </row>
    <row r="220" spans="2:4" x14ac:dyDescent="0.35">
      <c r="B220" s="4" t="s">
        <v>91</v>
      </c>
      <c r="C220" s="3">
        <v>4</v>
      </c>
      <c r="D220" s="9">
        <f t="shared" si="4"/>
        <v>2.3255813953488372E-2</v>
      </c>
    </row>
    <row r="221" spans="2:4" x14ac:dyDescent="0.35">
      <c r="B221" s="4" t="s">
        <v>401</v>
      </c>
      <c r="C221" s="3">
        <v>3</v>
      </c>
      <c r="D221" s="9">
        <f t="shared" si="4"/>
        <v>1.7441860465116279E-2</v>
      </c>
    </row>
    <row r="222" spans="2:4" x14ac:dyDescent="0.35">
      <c r="B222" s="4" t="s">
        <v>61</v>
      </c>
      <c r="C222" s="3">
        <v>1</v>
      </c>
      <c r="D222" s="9">
        <f t="shared" si="4"/>
        <v>5.8139534883720929E-3</v>
      </c>
    </row>
    <row r="223" spans="2:4" x14ac:dyDescent="0.35">
      <c r="B223" s="4" t="s">
        <v>167</v>
      </c>
      <c r="C223" s="3">
        <v>1</v>
      </c>
      <c r="D223" s="9">
        <f t="shared" si="4"/>
        <v>5.8139534883720929E-3</v>
      </c>
    </row>
    <row r="224" spans="2:4" x14ac:dyDescent="0.35">
      <c r="B224" s="4" t="s">
        <v>381</v>
      </c>
      <c r="C224" s="3">
        <v>2</v>
      </c>
      <c r="D224" s="9">
        <f t="shared" si="4"/>
        <v>1.1627906976744186E-2</v>
      </c>
    </row>
    <row r="225" spans="2:4" x14ac:dyDescent="0.35">
      <c r="B225" s="4" t="s">
        <v>49</v>
      </c>
      <c r="C225" s="3">
        <v>4</v>
      </c>
      <c r="D225" s="9">
        <f t="shared" si="4"/>
        <v>2.3255813953488372E-2</v>
      </c>
    </row>
    <row r="226" spans="2:4" x14ac:dyDescent="0.35">
      <c r="B226" s="4" t="s">
        <v>120</v>
      </c>
      <c r="C226" s="3">
        <v>1</v>
      </c>
      <c r="D226" s="9">
        <f t="shared" si="4"/>
        <v>5.8139534883720929E-3</v>
      </c>
    </row>
    <row r="227" spans="2:4" x14ac:dyDescent="0.35">
      <c r="B227" s="4" t="s">
        <v>226</v>
      </c>
      <c r="C227" s="3">
        <v>2</v>
      </c>
      <c r="D227" s="9">
        <f t="shared" si="4"/>
        <v>1.1627906976744186E-2</v>
      </c>
    </row>
    <row r="228" spans="2:4" x14ac:dyDescent="0.35">
      <c r="B228" s="4" t="s">
        <v>111</v>
      </c>
      <c r="C228" s="3">
        <v>4</v>
      </c>
      <c r="D228" s="9">
        <f t="shared" si="4"/>
        <v>2.3255813953488372E-2</v>
      </c>
    </row>
    <row r="229" spans="2:4" x14ac:dyDescent="0.35">
      <c r="B229" s="4" t="s">
        <v>71</v>
      </c>
      <c r="C229" s="3">
        <v>1</v>
      </c>
      <c r="D229" s="9">
        <f t="shared" si="4"/>
        <v>5.8139534883720929E-3</v>
      </c>
    </row>
    <row r="230" spans="2:4" x14ac:dyDescent="0.35">
      <c r="B230" s="4" t="s">
        <v>78</v>
      </c>
      <c r="C230" s="3">
        <v>1</v>
      </c>
      <c r="D230" s="9">
        <f t="shared" si="4"/>
        <v>5.8139534883720929E-3</v>
      </c>
    </row>
    <row r="231" spans="2:4" x14ac:dyDescent="0.35">
      <c r="B231" s="4" t="s">
        <v>10</v>
      </c>
      <c r="C231" s="3">
        <v>1</v>
      </c>
      <c r="D231" s="9">
        <f t="shared" si="4"/>
        <v>5.8139534883720929E-3</v>
      </c>
    </row>
    <row r="232" spans="2:4" x14ac:dyDescent="0.35">
      <c r="B232" s="4" t="s">
        <v>67</v>
      </c>
      <c r="C232" s="3">
        <v>6</v>
      </c>
      <c r="D232" s="9">
        <f t="shared" si="4"/>
        <v>3.4883720930232558E-2</v>
      </c>
    </row>
    <row r="233" spans="2:4" x14ac:dyDescent="0.35">
      <c r="B233" s="4" t="s">
        <v>139</v>
      </c>
      <c r="C233" s="3">
        <v>1</v>
      </c>
      <c r="D233" s="9">
        <f t="shared" si="4"/>
        <v>5.8139534883720929E-3</v>
      </c>
    </row>
    <row r="234" spans="2:4" x14ac:dyDescent="0.35">
      <c r="B234" s="4" t="s">
        <v>57</v>
      </c>
      <c r="C234" s="3">
        <v>1</v>
      </c>
      <c r="D234" s="9">
        <f t="shared" si="4"/>
        <v>5.8139534883720929E-3</v>
      </c>
    </row>
    <row r="235" spans="2:4" x14ac:dyDescent="0.35">
      <c r="B235" s="4" t="s">
        <v>116</v>
      </c>
      <c r="C235" s="3">
        <v>2</v>
      </c>
      <c r="D235" s="9">
        <f t="shared" si="4"/>
        <v>1.1627906976744186E-2</v>
      </c>
    </row>
    <row r="236" spans="2:4" x14ac:dyDescent="0.35">
      <c r="B236" s="4" t="s">
        <v>12</v>
      </c>
      <c r="C236" s="3">
        <v>4</v>
      </c>
      <c r="D236" s="9">
        <f t="shared" si="4"/>
        <v>2.3255813953488372E-2</v>
      </c>
    </row>
    <row r="237" spans="2:4" x14ac:dyDescent="0.35">
      <c r="B237" s="4" t="s">
        <v>47</v>
      </c>
      <c r="C237" s="3">
        <v>5</v>
      </c>
      <c r="D237" s="9">
        <f t="shared" si="4"/>
        <v>2.9069767441860465E-2</v>
      </c>
    </row>
    <row r="238" spans="2:4" x14ac:dyDescent="0.35">
      <c r="B238" s="4" t="s">
        <v>39</v>
      </c>
      <c r="C238" s="3">
        <v>8</v>
      </c>
      <c r="D238" s="9">
        <f t="shared" si="4"/>
        <v>4.6511627906976744E-2</v>
      </c>
    </row>
    <row r="239" spans="2:4" x14ac:dyDescent="0.35">
      <c r="B239" s="4" t="s">
        <v>82</v>
      </c>
      <c r="C239" s="3">
        <v>6</v>
      </c>
      <c r="D239" s="9">
        <f t="shared" si="4"/>
        <v>3.4883720930232558E-2</v>
      </c>
    </row>
    <row r="240" spans="2:4" x14ac:dyDescent="0.35">
      <c r="B240" s="4" t="s">
        <v>122</v>
      </c>
      <c r="C240" s="3">
        <v>1</v>
      </c>
      <c r="D240" s="9">
        <f t="shared" si="4"/>
        <v>5.8139534883720929E-3</v>
      </c>
    </row>
    <row r="241" spans="2:4" x14ac:dyDescent="0.35">
      <c r="B241" s="4" t="s">
        <v>28</v>
      </c>
      <c r="C241" s="3">
        <v>2</v>
      </c>
      <c r="D241" s="9">
        <f t="shared" si="4"/>
        <v>1.1627906976744186E-2</v>
      </c>
    </row>
    <row r="242" spans="2:4" x14ac:dyDescent="0.35">
      <c r="B242" s="4" t="s">
        <v>98</v>
      </c>
      <c r="C242" s="3">
        <v>2</v>
      </c>
      <c r="D242" s="9">
        <f t="shared" si="4"/>
        <v>1.1627906976744186E-2</v>
      </c>
    </row>
    <row r="243" spans="2:4" x14ac:dyDescent="0.35">
      <c r="B243" s="4" t="s">
        <v>25</v>
      </c>
      <c r="C243" s="3">
        <v>9</v>
      </c>
      <c r="D243" s="9">
        <f t="shared" si="4"/>
        <v>5.232558139534884E-2</v>
      </c>
    </row>
    <row r="244" spans="2:4" x14ac:dyDescent="0.35">
      <c r="B244" s="4" t="s">
        <v>112</v>
      </c>
      <c r="C244" s="3">
        <v>2</v>
      </c>
      <c r="D244" s="9">
        <f t="shared" si="4"/>
        <v>1.1627906976744186E-2</v>
      </c>
    </row>
    <row r="245" spans="2:4" x14ac:dyDescent="0.35">
      <c r="B245" s="4" t="s">
        <v>51</v>
      </c>
      <c r="C245" s="3">
        <v>2</v>
      </c>
      <c r="D245" s="9">
        <f t="shared" si="4"/>
        <v>1.1627906976744186E-2</v>
      </c>
    </row>
    <row r="246" spans="2:4" x14ac:dyDescent="0.35">
      <c r="B246" s="4" t="s">
        <v>40</v>
      </c>
      <c r="C246" s="3">
        <v>8</v>
      </c>
      <c r="D246" s="9">
        <f t="shared" si="4"/>
        <v>4.6511627906976744E-2</v>
      </c>
    </row>
    <row r="247" spans="2:4" x14ac:dyDescent="0.35">
      <c r="B247" s="4" t="s">
        <v>99</v>
      </c>
      <c r="C247" s="3">
        <v>8</v>
      </c>
      <c r="D247" s="9">
        <f t="shared" si="4"/>
        <v>4.6511627906976744E-2</v>
      </c>
    </row>
    <row r="248" spans="2:4" x14ac:dyDescent="0.35">
      <c r="B248" s="4" t="s">
        <v>36</v>
      </c>
      <c r="C248" s="3">
        <v>1</v>
      </c>
      <c r="D248" s="9">
        <f t="shared" si="4"/>
        <v>5.8139534883720929E-3</v>
      </c>
    </row>
    <row r="249" spans="2:4" x14ac:dyDescent="0.35">
      <c r="B249" s="4" t="s">
        <v>73</v>
      </c>
      <c r="C249" s="3">
        <v>4</v>
      </c>
      <c r="D249" s="9">
        <f t="shared" si="4"/>
        <v>2.3255813953488372E-2</v>
      </c>
    </row>
    <row r="250" spans="2:4" x14ac:dyDescent="0.35">
      <c r="B250" s="4" t="s">
        <v>9</v>
      </c>
      <c r="C250" s="3">
        <v>1</v>
      </c>
      <c r="D250" s="9">
        <f t="shared" si="4"/>
        <v>5.8139534883720929E-3</v>
      </c>
    </row>
    <row r="251" spans="2:4" x14ac:dyDescent="0.35">
      <c r="B251" s="4" t="s">
        <v>118</v>
      </c>
      <c r="C251" s="3">
        <v>1</v>
      </c>
      <c r="D251" s="9">
        <f t="shared" si="4"/>
        <v>5.8139534883720929E-3</v>
      </c>
    </row>
    <row r="252" spans="2:4" x14ac:dyDescent="0.35">
      <c r="B252" s="4" t="s">
        <v>44</v>
      </c>
      <c r="C252" s="3">
        <v>3</v>
      </c>
      <c r="D252" s="9">
        <f t="shared" si="4"/>
        <v>1.7441860465116279E-2</v>
      </c>
    </row>
    <row r="253" spans="2:4" x14ac:dyDescent="0.35">
      <c r="B253" s="4" t="s">
        <v>5</v>
      </c>
      <c r="C253" s="3">
        <v>3</v>
      </c>
      <c r="D253" s="9">
        <f t="shared" si="4"/>
        <v>1.7441860465116279E-2</v>
      </c>
    </row>
    <row r="254" spans="2:4" x14ac:dyDescent="0.35">
      <c r="B254" s="4" t="s">
        <v>43</v>
      </c>
      <c r="C254" s="3">
        <v>3</v>
      </c>
      <c r="D254" s="9">
        <f t="shared" si="4"/>
        <v>1.7441860465116279E-2</v>
      </c>
    </row>
    <row r="255" spans="2:4" x14ac:dyDescent="0.35">
      <c r="B255" s="4" t="s">
        <v>83</v>
      </c>
      <c r="C255" s="3">
        <v>2</v>
      </c>
      <c r="D255" s="9">
        <f t="shared" si="4"/>
        <v>1.1627906976744186E-2</v>
      </c>
    </row>
    <row r="256" spans="2:4" x14ac:dyDescent="0.35">
      <c r="B256" s="4" t="s">
        <v>65</v>
      </c>
      <c r="C256" s="3">
        <v>2</v>
      </c>
      <c r="D256" s="9">
        <f t="shared" si="4"/>
        <v>1.1627906976744186E-2</v>
      </c>
    </row>
    <row r="257" spans="1:4" x14ac:dyDescent="0.35">
      <c r="A257" s="5" t="s">
        <v>425</v>
      </c>
      <c r="C257" s="3">
        <v>191</v>
      </c>
    </row>
    <row r="258" spans="1:4" x14ac:dyDescent="0.35">
      <c r="B258" s="4" t="s">
        <v>150</v>
      </c>
      <c r="C258" s="3">
        <v>1</v>
      </c>
      <c r="D258" s="9">
        <f>C258/191</f>
        <v>5.235602094240838E-3</v>
      </c>
    </row>
    <row r="259" spans="1:4" x14ac:dyDescent="0.35">
      <c r="B259" s="4" t="s">
        <v>55</v>
      </c>
      <c r="C259" s="3">
        <v>7</v>
      </c>
      <c r="D259" s="9">
        <f t="shared" ref="D259:D310" si="5">C259/191</f>
        <v>3.6649214659685861E-2</v>
      </c>
    </row>
    <row r="260" spans="1:4" x14ac:dyDescent="0.35">
      <c r="B260" s="4" t="s">
        <v>22</v>
      </c>
      <c r="C260" s="3">
        <v>2</v>
      </c>
      <c r="D260" s="9">
        <f t="shared" si="5"/>
        <v>1.0471204188481676E-2</v>
      </c>
    </row>
    <row r="261" spans="1:4" x14ac:dyDescent="0.35">
      <c r="B261" s="4" t="s">
        <v>45</v>
      </c>
      <c r="C261" s="3">
        <v>4</v>
      </c>
      <c r="D261" s="9">
        <f t="shared" si="5"/>
        <v>2.0942408376963352E-2</v>
      </c>
    </row>
    <row r="262" spans="1:4" x14ac:dyDescent="0.35">
      <c r="B262" s="4" t="s">
        <v>317</v>
      </c>
      <c r="C262" s="3">
        <v>8</v>
      </c>
      <c r="D262" s="9">
        <f t="shared" si="5"/>
        <v>4.1884816753926704E-2</v>
      </c>
    </row>
    <row r="263" spans="1:4" x14ac:dyDescent="0.35">
      <c r="B263" s="4" t="s">
        <v>394</v>
      </c>
      <c r="C263" s="3">
        <v>2</v>
      </c>
      <c r="D263" s="9">
        <f t="shared" si="5"/>
        <v>1.0471204188481676E-2</v>
      </c>
    </row>
    <row r="264" spans="1:4" x14ac:dyDescent="0.35">
      <c r="B264" s="4" t="s">
        <v>29</v>
      </c>
      <c r="C264" s="3">
        <v>5</v>
      </c>
      <c r="D264" s="9">
        <f t="shared" si="5"/>
        <v>2.6178010471204188E-2</v>
      </c>
    </row>
    <row r="265" spans="1:4" x14ac:dyDescent="0.35">
      <c r="B265" s="4" t="s">
        <v>152</v>
      </c>
      <c r="C265" s="3">
        <v>2</v>
      </c>
      <c r="D265" s="9">
        <f t="shared" si="5"/>
        <v>1.0471204188481676E-2</v>
      </c>
    </row>
    <row r="266" spans="1:4" x14ac:dyDescent="0.35">
      <c r="B266" s="4" t="s">
        <v>56</v>
      </c>
      <c r="C266" s="3">
        <v>1</v>
      </c>
      <c r="D266" s="9">
        <f t="shared" si="5"/>
        <v>5.235602094240838E-3</v>
      </c>
    </row>
    <row r="267" spans="1:4" x14ac:dyDescent="0.35">
      <c r="B267" s="4" t="s">
        <v>101</v>
      </c>
      <c r="C267" s="3">
        <v>2</v>
      </c>
      <c r="D267" s="9">
        <f t="shared" si="5"/>
        <v>1.0471204188481676E-2</v>
      </c>
    </row>
    <row r="268" spans="1:4" x14ac:dyDescent="0.35">
      <c r="B268" s="4" t="s">
        <v>316</v>
      </c>
      <c r="C268" s="3">
        <v>1</v>
      </c>
      <c r="D268" s="9">
        <f t="shared" si="5"/>
        <v>5.235602094240838E-3</v>
      </c>
    </row>
    <row r="269" spans="1:4" x14ac:dyDescent="0.35">
      <c r="B269" s="4" t="s">
        <v>50</v>
      </c>
      <c r="C269" s="3">
        <v>3</v>
      </c>
      <c r="D269" s="9">
        <f t="shared" si="5"/>
        <v>1.5706806282722512E-2</v>
      </c>
    </row>
    <row r="270" spans="1:4" x14ac:dyDescent="0.35">
      <c r="B270" s="4" t="s">
        <v>26</v>
      </c>
      <c r="C270" s="3">
        <v>1</v>
      </c>
      <c r="D270" s="9">
        <f t="shared" si="5"/>
        <v>5.235602094240838E-3</v>
      </c>
    </row>
    <row r="271" spans="1:4" x14ac:dyDescent="0.35">
      <c r="B271" s="4" t="s">
        <v>33</v>
      </c>
      <c r="C271" s="3">
        <v>4</v>
      </c>
      <c r="D271" s="9">
        <f t="shared" si="5"/>
        <v>2.0942408376963352E-2</v>
      </c>
    </row>
    <row r="272" spans="1:4" x14ac:dyDescent="0.35">
      <c r="B272" s="4" t="s">
        <v>19</v>
      </c>
      <c r="C272" s="3">
        <v>3</v>
      </c>
      <c r="D272" s="9">
        <f t="shared" si="5"/>
        <v>1.5706806282722512E-2</v>
      </c>
    </row>
    <row r="273" spans="2:4" x14ac:dyDescent="0.35">
      <c r="B273" s="4" t="s">
        <v>86</v>
      </c>
      <c r="C273" s="3">
        <v>4</v>
      </c>
      <c r="D273" s="9">
        <f t="shared" si="5"/>
        <v>2.0942408376963352E-2</v>
      </c>
    </row>
    <row r="274" spans="2:4" x14ac:dyDescent="0.35">
      <c r="B274" s="4" t="s">
        <v>134</v>
      </c>
      <c r="C274" s="3">
        <v>8</v>
      </c>
      <c r="D274" s="9">
        <f t="shared" si="5"/>
        <v>4.1884816753926704E-2</v>
      </c>
    </row>
    <row r="275" spans="2:4" x14ac:dyDescent="0.35">
      <c r="B275" s="4" t="s">
        <v>80</v>
      </c>
      <c r="C275" s="3">
        <v>1</v>
      </c>
      <c r="D275" s="9">
        <f t="shared" si="5"/>
        <v>5.235602094240838E-3</v>
      </c>
    </row>
    <row r="276" spans="2:4" x14ac:dyDescent="0.35">
      <c r="B276" s="4" t="s">
        <v>84</v>
      </c>
      <c r="C276" s="3">
        <v>3</v>
      </c>
      <c r="D276" s="9">
        <f t="shared" si="5"/>
        <v>1.5706806282722512E-2</v>
      </c>
    </row>
    <row r="277" spans="2:4" x14ac:dyDescent="0.35">
      <c r="B277" s="4" t="s">
        <v>97</v>
      </c>
      <c r="C277" s="3">
        <v>6</v>
      </c>
      <c r="D277" s="9">
        <f t="shared" si="5"/>
        <v>3.1413612565445025E-2</v>
      </c>
    </row>
    <row r="278" spans="2:4" x14ac:dyDescent="0.35">
      <c r="B278" s="4" t="s">
        <v>81</v>
      </c>
      <c r="C278" s="3">
        <v>3</v>
      </c>
      <c r="D278" s="9">
        <f t="shared" si="5"/>
        <v>1.5706806282722512E-2</v>
      </c>
    </row>
    <row r="279" spans="2:4" x14ac:dyDescent="0.35">
      <c r="B279" s="4" t="s">
        <v>91</v>
      </c>
      <c r="C279" s="3">
        <v>5</v>
      </c>
      <c r="D279" s="9">
        <f t="shared" si="5"/>
        <v>2.6178010471204188E-2</v>
      </c>
    </row>
    <row r="280" spans="2:4" x14ac:dyDescent="0.35">
      <c r="B280" s="4" t="s">
        <v>401</v>
      </c>
      <c r="C280" s="3">
        <v>3</v>
      </c>
      <c r="D280" s="9">
        <f t="shared" si="5"/>
        <v>1.5706806282722512E-2</v>
      </c>
    </row>
    <row r="281" spans="2:4" x14ac:dyDescent="0.35">
      <c r="B281" s="4" t="s">
        <v>167</v>
      </c>
      <c r="C281" s="3">
        <v>5</v>
      </c>
      <c r="D281" s="9">
        <f t="shared" si="5"/>
        <v>2.6178010471204188E-2</v>
      </c>
    </row>
    <row r="282" spans="2:4" x14ac:dyDescent="0.35">
      <c r="B282" s="4" t="s">
        <v>381</v>
      </c>
      <c r="C282" s="3">
        <v>1</v>
      </c>
      <c r="D282" s="9">
        <f t="shared" si="5"/>
        <v>5.235602094240838E-3</v>
      </c>
    </row>
    <row r="283" spans="2:4" x14ac:dyDescent="0.35">
      <c r="B283" s="4" t="s">
        <v>49</v>
      </c>
      <c r="C283" s="3">
        <v>5</v>
      </c>
      <c r="D283" s="9">
        <f t="shared" si="5"/>
        <v>2.6178010471204188E-2</v>
      </c>
    </row>
    <row r="284" spans="2:4" x14ac:dyDescent="0.35">
      <c r="B284" s="4" t="s">
        <v>120</v>
      </c>
      <c r="C284" s="3">
        <v>2</v>
      </c>
      <c r="D284" s="9">
        <f t="shared" si="5"/>
        <v>1.0471204188481676E-2</v>
      </c>
    </row>
    <row r="285" spans="2:4" x14ac:dyDescent="0.35">
      <c r="B285" s="4" t="s">
        <v>226</v>
      </c>
      <c r="C285" s="3">
        <v>2</v>
      </c>
      <c r="D285" s="9">
        <f t="shared" si="5"/>
        <v>1.0471204188481676E-2</v>
      </c>
    </row>
    <row r="286" spans="2:4" x14ac:dyDescent="0.35">
      <c r="B286" s="4" t="s">
        <v>111</v>
      </c>
      <c r="C286" s="3">
        <v>5</v>
      </c>
      <c r="D286" s="9">
        <f t="shared" si="5"/>
        <v>2.6178010471204188E-2</v>
      </c>
    </row>
    <row r="287" spans="2:4" x14ac:dyDescent="0.35">
      <c r="B287" s="4" t="s">
        <v>71</v>
      </c>
      <c r="C287" s="3">
        <v>1</v>
      </c>
      <c r="D287" s="9">
        <f t="shared" si="5"/>
        <v>5.235602094240838E-3</v>
      </c>
    </row>
    <row r="288" spans="2:4" x14ac:dyDescent="0.35">
      <c r="B288" s="4" t="s">
        <v>67</v>
      </c>
      <c r="C288" s="3">
        <v>4</v>
      </c>
      <c r="D288" s="9">
        <f t="shared" si="5"/>
        <v>2.0942408376963352E-2</v>
      </c>
    </row>
    <row r="289" spans="2:4" x14ac:dyDescent="0.35">
      <c r="B289" s="4" t="s">
        <v>139</v>
      </c>
      <c r="C289" s="3">
        <v>1</v>
      </c>
      <c r="D289" s="9">
        <f t="shared" si="5"/>
        <v>5.235602094240838E-3</v>
      </c>
    </row>
    <row r="290" spans="2:4" x14ac:dyDescent="0.35">
      <c r="B290" s="4" t="s">
        <v>57</v>
      </c>
      <c r="C290" s="3">
        <v>2</v>
      </c>
      <c r="D290" s="9">
        <f t="shared" si="5"/>
        <v>1.0471204188481676E-2</v>
      </c>
    </row>
    <row r="291" spans="2:4" x14ac:dyDescent="0.35">
      <c r="B291" s="4" t="s">
        <v>14</v>
      </c>
      <c r="C291" s="3">
        <v>2</v>
      </c>
      <c r="D291" s="9">
        <f t="shared" si="5"/>
        <v>1.0471204188481676E-2</v>
      </c>
    </row>
    <row r="292" spans="2:4" x14ac:dyDescent="0.35">
      <c r="B292" s="4" t="s">
        <v>12</v>
      </c>
      <c r="C292" s="3">
        <v>5</v>
      </c>
      <c r="D292" s="9">
        <f t="shared" si="5"/>
        <v>2.6178010471204188E-2</v>
      </c>
    </row>
    <row r="293" spans="2:4" x14ac:dyDescent="0.35">
      <c r="B293" s="4" t="s">
        <v>47</v>
      </c>
      <c r="C293" s="3">
        <v>1</v>
      </c>
      <c r="D293" s="9">
        <f t="shared" si="5"/>
        <v>5.235602094240838E-3</v>
      </c>
    </row>
    <row r="294" spans="2:4" x14ac:dyDescent="0.35">
      <c r="B294" s="4" t="s">
        <v>39</v>
      </c>
      <c r="C294" s="3">
        <v>8</v>
      </c>
      <c r="D294" s="9">
        <f t="shared" si="5"/>
        <v>4.1884816753926704E-2</v>
      </c>
    </row>
    <row r="295" spans="2:4" x14ac:dyDescent="0.35">
      <c r="B295" s="4" t="s">
        <v>82</v>
      </c>
      <c r="C295" s="3">
        <v>3</v>
      </c>
      <c r="D295" s="9">
        <f t="shared" si="5"/>
        <v>1.5706806282722512E-2</v>
      </c>
    </row>
    <row r="296" spans="2:4" x14ac:dyDescent="0.35">
      <c r="B296" s="4" t="s">
        <v>98</v>
      </c>
      <c r="C296" s="3">
        <v>1</v>
      </c>
      <c r="D296" s="9">
        <f t="shared" si="5"/>
        <v>5.235602094240838E-3</v>
      </c>
    </row>
    <row r="297" spans="2:4" x14ac:dyDescent="0.35">
      <c r="B297" s="4" t="s">
        <v>25</v>
      </c>
      <c r="C297" s="3">
        <v>14</v>
      </c>
      <c r="D297" s="9">
        <f t="shared" si="5"/>
        <v>7.3298429319371722E-2</v>
      </c>
    </row>
    <row r="298" spans="2:4" x14ac:dyDescent="0.35">
      <c r="B298" s="4" t="s">
        <v>51</v>
      </c>
      <c r="C298" s="3">
        <v>4</v>
      </c>
      <c r="D298" s="9">
        <f t="shared" si="5"/>
        <v>2.0942408376963352E-2</v>
      </c>
    </row>
    <row r="299" spans="2:4" x14ac:dyDescent="0.35">
      <c r="B299" s="4" t="s">
        <v>40</v>
      </c>
      <c r="C299" s="3">
        <v>11</v>
      </c>
      <c r="D299" s="9">
        <f t="shared" si="5"/>
        <v>5.7591623036649213E-2</v>
      </c>
    </row>
    <row r="300" spans="2:4" x14ac:dyDescent="0.35">
      <c r="B300" s="4" t="s">
        <v>99</v>
      </c>
      <c r="C300" s="3">
        <v>5</v>
      </c>
      <c r="D300" s="9">
        <f t="shared" si="5"/>
        <v>2.6178010471204188E-2</v>
      </c>
    </row>
    <row r="301" spans="2:4" x14ac:dyDescent="0.35">
      <c r="B301" s="4" t="s">
        <v>36</v>
      </c>
      <c r="C301" s="3">
        <v>2</v>
      </c>
      <c r="D301" s="9">
        <f t="shared" si="5"/>
        <v>1.0471204188481676E-2</v>
      </c>
    </row>
    <row r="302" spans="2:4" x14ac:dyDescent="0.35">
      <c r="B302" s="4" t="s">
        <v>73</v>
      </c>
      <c r="C302" s="3">
        <v>8</v>
      </c>
      <c r="D302" s="9">
        <f t="shared" si="5"/>
        <v>4.1884816753926704E-2</v>
      </c>
    </row>
    <row r="303" spans="2:4" x14ac:dyDescent="0.35">
      <c r="B303" s="4" t="s">
        <v>44</v>
      </c>
      <c r="C303" s="3">
        <v>2</v>
      </c>
      <c r="D303" s="9">
        <f t="shared" si="5"/>
        <v>1.0471204188481676E-2</v>
      </c>
    </row>
    <row r="304" spans="2:4" x14ac:dyDescent="0.35">
      <c r="B304" s="4" t="s">
        <v>23</v>
      </c>
      <c r="C304" s="3">
        <v>3</v>
      </c>
      <c r="D304" s="9">
        <f t="shared" si="5"/>
        <v>1.5706806282722512E-2</v>
      </c>
    </row>
    <row r="305" spans="1:4" x14ac:dyDescent="0.35">
      <c r="B305" s="4" t="s">
        <v>5</v>
      </c>
      <c r="C305" s="3">
        <v>1</v>
      </c>
      <c r="D305" s="9">
        <f t="shared" si="5"/>
        <v>5.235602094240838E-3</v>
      </c>
    </row>
    <row r="306" spans="1:4" x14ac:dyDescent="0.35">
      <c r="B306" s="4" t="s">
        <v>96</v>
      </c>
      <c r="C306" s="3">
        <v>1</v>
      </c>
      <c r="D306" s="9">
        <f t="shared" si="5"/>
        <v>5.235602094240838E-3</v>
      </c>
    </row>
    <row r="307" spans="1:4" x14ac:dyDescent="0.35">
      <c r="B307" s="4" t="s">
        <v>43</v>
      </c>
      <c r="C307" s="3">
        <v>4</v>
      </c>
      <c r="D307" s="9">
        <f t="shared" si="5"/>
        <v>2.0942408376963352E-2</v>
      </c>
    </row>
    <row r="308" spans="1:4" x14ac:dyDescent="0.35">
      <c r="B308" s="4" t="s">
        <v>83</v>
      </c>
      <c r="C308" s="3">
        <v>5</v>
      </c>
      <c r="D308" s="9">
        <f t="shared" si="5"/>
        <v>2.6178010471204188E-2</v>
      </c>
    </row>
    <row r="309" spans="1:4" x14ac:dyDescent="0.35">
      <c r="B309" s="4" t="s">
        <v>65</v>
      </c>
      <c r="C309" s="3">
        <v>3</v>
      </c>
      <c r="D309" s="9">
        <f t="shared" si="5"/>
        <v>1.5706806282722512E-2</v>
      </c>
    </row>
    <row r="310" spans="1:4" x14ac:dyDescent="0.35">
      <c r="B310" s="4" t="s">
        <v>95</v>
      </c>
      <c r="C310" s="3">
        <v>1</v>
      </c>
      <c r="D310" s="9">
        <f t="shared" si="5"/>
        <v>5.235602094240838E-3</v>
      </c>
    </row>
    <row r="311" spans="1:4" x14ac:dyDescent="0.35">
      <c r="A311" s="5" t="s">
        <v>426</v>
      </c>
      <c r="C311" s="3">
        <v>186</v>
      </c>
    </row>
    <row r="312" spans="1:4" x14ac:dyDescent="0.35">
      <c r="B312" s="4" t="s">
        <v>150</v>
      </c>
      <c r="C312" s="3">
        <v>1</v>
      </c>
      <c r="D312" s="9">
        <f>C312/186</f>
        <v>5.3763440860215058E-3</v>
      </c>
    </row>
    <row r="313" spans="1:4" x14ac:dyDescent="0.35">
      <c r="B313" s="4" t="s">
        <v>55</v>
      </c>
      <c r="C313" s="3">
        <v>5</v>
      </c>
      <c r="D313" s="9">
        <f t="shared" ref="D313:D370" si="6">C313/186</f>
        <v>2.6881720430107527E-2</v>
      </c>
    </row>
    <row r="314" spans="1:4" x14ac:dyDescent="0.35">
      <c r="B314" s="4" t="s">
        <v>22</v>
      </c>
      <c r="C314" s="3">
        <v>1</v>
      </c>
      <c r="D314" s="9">
        <f t="shared" si="6"/>
        <v>5.3763440860215058E-3</v>
      </c>
    </row>
    <row r="315" spans="1:4" x14ac:dyDescent="0.35">
      <c r="B315" s="4" t="s">
        <v>45</v>
      </c>
      <c r="C315" s="3">
        <v>4</v>
      </c>
      <c r="D315" s="9">
        <f t="shared" si="6"/>
        <v>2.1505376344086023E-2</v>
      </c>
    </row>
    <row r="316" spans="1:4" x14ac:dyDescent="0.35">
      <c r="B316" s="4" t="s">
        <v>317</v>
      </c>
      <c r="C316" s="3">
        <v>8</v>
      </c>
      <c r="D316" s="9">
        <f t="shared" si="6"/>
        <v>4.3010752688172046E-2</v>
      </c>
    </row>
    <row r="317" spans="1:4" x14ac:dyDescent="0.35">
      <c r="B317" s="4" t="s">
        <v>394</v>
      </c>
      <c r="C317" s="3">
        <v>3</v>
      </c>
      <c r="D317" s="9">
        <f t="shared" si="6"/>
        <v>1.6129032258064516E-2</v>
      </c>
    </row>
    <row r="318" spans="1:4" x14ac:dyDescent="0.35">
      <c r="B318" s="4" t="s">
        <v>29</v>
      </c>
      <c r="C318" s="3">
        <v>5</v>
      </c>
      <c r="D318" s="9">
        <f t="shared" si="6"/>
        <v>2.6881720430107527E-2</v>
      </c>
    </row>
    <row r="319" spans="1:4" x14ac:dyDescent="0.35">
      <c r="B319" s="4" t="s">
        <v>152</v>
      </c>
      <c r="C319" s="3">
        <v>2</v>
      </c>
      <c r="D319" s="9">
        <f t="shared" si="6"/>
        <v>1.0752688172043012E-2</v>
      </c>
    </row>
    <row r="320" spans="1:4" x14ac:dyDescent="0.35">
      <c r="B320" s="4" t="s">
        <v>56</v>
      </c>
      <c r="C320" s="3">
        <v>5</v>
      </c>
      <c r="D320" s="9">
        <f t="shared" si="6"/>
        <v>2.6881720430107527E-2</v>
      </c>
    </row>
    <row r="321" spans="2:4" x14ac:dyDescent="0.35">
      <c r="B321" s="4" t="s">
        <v>13</v>
      </c>
      <c r="C321" s="3">
        <v>2</v>
      </c>
      <c r="D321" s="9">
        <f t="shared" si="6"/>
        <v>1.0752688172043012E-2</v>
      </c>
    </row>
    <row r="322" spans="2:4" x14ac:dyDescent="0.35">
      <c r="B322" s="4" t="s">
        <v>156</v>
      </c>
      <c r="C322" s="3">
        <v>1</v>
      </c>
      <c r="D322" s="9">
        <f t="shared" si="6"/>
        <v>5.3763440860215058E-3</v>
      </c>
    </row>
    <row r="323" spans="2:4" x14ac:dyDescent="0.35">
      <c r="B323" s="4" t="s">
        <v>101</v>
      </c>
      <c r="C323" s="3">
        <v>1</v>
      </c>
      <c r="D323" s="9">
        <f t="shared" si="6"/>
        <v>5.3763440860215058E-3</v>
      </c>
    </row>
    <row r="324" spans="2:4" x14ac:dyDescent="0.35">
      <c r="B324" s="4" t="s">
        <v>316</v>
      </c>
      <c r="C324" s="3">
        <v>4</v>
      </c>
      <c r="D324" s="9">
        <f t="shared" si="6"/>
        <v>2.1505376344086023E-2</v>
      </c>
    </row>
    <row r="325" spans="2:4" x14ac:dyDescent="0.35">
      <c r="B325" s="4" t="s">
        <v>53</v>
      </c>
      <c r="C325" s="3">
        <v>1</v>
      </c>
      <c r="D325" s="9">
        <f t="shared" si="6"/>
        <v>5.3763440860215058E-3</v>
      </c>
    </row>
    <row r="326" spans="2:4" x14ac:dyDescent="0.35">
      <c r="B326" s="4" t="s">
        <v>26</v>
      </c>
      <c r="C326" s="3">
        <v>3</v>
      </c>
      <c r="D326" s="9">
        <f t="shared" si="6"/>
        <v>1.6129032258064516E-2</v>
      </c>
    </row>
    <row r="327" spans="2:4" x14ac:dyDescent="0.35">
      <c r="B327" s="4" t="s">
        <v>191</v>
      </c>
      <c r="C327" s="3">
        <v>1</v>
      </c>
      <c r="D327" s="9">
        <f t="shared" si="6"/>
        <v>5.3763440860215058E-3</v>
      </c>
    </row>
    <row r="328" spans="2:4" x14ac:dyDescent="0.35">
      <c r="B328" s="4" t="s">
        <v>89</v>
      </c>
      <c r="C328" s="3">
        <v>1</v>
      </c>
      <c r="D328" s="9">
        <f t="shared" si="6"/>
        <v>5.3763440860215058E-3</v>
      </c>
    </row>
    <row r="329" spans="2:4" x14ac:dyDescent="0.35">
      <c r="B329" s="4" t="s">
        <v>33</v>
      </c>
      <c r="C329" s="3">
        <v>3</v>
      </c>
      <c r="D329" s="9">
        <f t="shared" si="6"/>
        <v>1.6129032258064516E-2</v>
      </c>
    </row>
    <row r="330" spans="2:4" x14ac:dyDescent="0.35">
      <c r="B330" s="4" t="s">
        <v>19</v>
      </c>
      <c r="C330" s="3">
        <v>1</v>
      </c>
      <c r="D330" s="9">
        <f t="shared" si="6"/>
        <v>5.3763440860215058E-3</v>
      </c>
    </row>
    <row r="331" spans="2:4" x14ac:dyDescent="0.35">
      <c r="B331" s="4" t="s">
        <v>86</v>
      </c>
      <c r="C331" s="3">
        <v>8</v>
      </c>
      <c r="D331" s="9">
        <f t="shared" si="6"/>
        <v>4.3010752688172046E-2</v>
      </c>
    </row>
    <row r="332" spans="2:4" x14ac:dyDescent="0.35">
      <c r="B332" s="4" t="s">
        <v>134</v>
      </c>
      <c r="C332" s="3">
        <v>3</v>
      </c>
      <c r="D332" s="9">
        <f t="shared" si="6"/>
        <v>1.6129032258064516E-2</v>
      </c>
    </row>
    <row r="333" spans="2:4" x14ac:dyDescent="0.35">
      <c r="B333" s="4" t="s">
        <v>80</v>
      </c>
      <c r="C333" s="3">
        <v>1</v>
      </c>
      <c r="D333" s="9">
        <f t="shared" si="6"/>
        <v>5.3763440860215058E-3</v>
      </c>
    </row>
    <row r="334" spans="2:4" x14ac:dyDescent="0.35">
      <c r="B334" s="4" t="s">
        <v>84</v>
      </c>
      <c r="C334" s="3">
        <v>3</v>
      </c>
      <c r="D334" s="9">
        <f t="shared" si="6"/>
        <v>1.6129032258064516E-2</v>
      </c>
    </row>
    <row r="335" spans="2:4" x14ac:dyDescent="0.35">
      <c r="B335" s="4" t="s">
        <v>97</v>
      </c>
      <c r="C335" s="3">
        <v>4</v>
      </c>
      <c r="D335" s="9">
        <f t="shared" si="6"/>
        <v>2.1505376344086023E-2</v>
      </c>
    </row>
    <row r="336" spans="2:4" x14ac:dyDescent="0.35">
      <c r="B336" s="4" t="s">
        <v>145</v>
      </c>
      <c r="C336" s="3">
        <v>1</v>
      </c>
      <c r="D336" s="9">
        <f t="shared" si="6"/>
        <v>5.3763440860215058E-3</v>
      </c>
    </row>
    <row r="337" spans="2:4" x14ac:dyDescent="0.35">
      <c r="B337" s="4" t="s">
        <v>81</v>
      </c>
      <c r="C337" s="3">
        <v>5</v>
      </c>
      <c r="D337" s="9">
        <f t="shared" si="6"/>
        <v>2.6881720430107527E-2</v>
      </c>
    </row>
    <row r="338" spans="2:4" x14ac:dyDescent="0.35">
      <c r="B338" s="4" t="s">
        <v>168</v>
      </c>
      <c r="C338" s="3">
        <v>3</v>
      </c>
      <c r="D338" s="9">
        <f t="shared" si="6"/>
        <v>1.6129032258064516E-2</v>
      </c>
    </row>
    <row r="339" spans="2:4" x14ac:dyDescent="0.35">
      <c r="B339" s="4" t="s">
        <v>91</v>
      </c>
      <c r="C339" s="3">
        <v>2</v>
      </c>
      <c r="D339" s="9">
        <f t="shared" si="6"/>
        <v>1.0752688172043012E-2</v>
      </c>
    </row>
    <row r="340" spans="2:4" x14ac:dyDescent="0.35">
      <c r="B340" s="4" t="s">
        <v>401</v>
      </c>
      <c r="C340" s="3">
        <v>3</v>
      </c>
      <c r="D340" s="9">
        <f t="shared" si="6"/>
        <v>1.6129032258064516E-2</v>
      </c>
    </row>
    <row r="341" spans="2:4" x14ac:dyDescent="0.35">
      <c r="B341" s="4" t="s">
        <v>167</v>
      </c>
      <c r="C341" s="3">
        <v>7</v>
      </c>
      <c r="D341" s="9">
        <f t="shared" si="6"/>
        <v>3.7634408602150539E-2</v>
      </c>
    </row>
    <row r="342" spans="2:4" x14ac:dyDescent="0.35">
      <c r="B342" s="4" t="s">
        <v>381</v>
      </c>
      <c r="C342" s="3">
        <v>2</v>
      </c>
      <c r="D342" s="9">
        <f t="shared" si="6"/>
        <v>1.0752688172043012E-2</v>
      </c>
    </row>
    <row r="343" spans="2:4" x14ac:dyDescent="0.35">
      <c r="B343" s="4" t="s">
        <v>49</v>
      </c>
      <c r="C343" s="3">
        <v>1</v>
      </c>
      <c r="D343" s="9">
        <f t="shared" si="6"/>
        <v>5.3763440860215058E-3</v>
      </c>
    </row>
    <row r="344" spans="2:4" x14ac:dyDescent="0.35">
      <c r="B344" s="4" t="s">
        <v>226</v>
      </c>
      <c r="C344" s="3">
        <v>1</v>
      </c>
      <c r="D344" s="9">
        <f t="shared" si="6"/>
        <v>5.3763440860215058E-3</v>
      </c>
    </row>
    <row r="345" spans="2:4" x14ac:dyDescent="0.35">
      <c r="B345" s="4" t="s">
        <v>71</v>
      </c>
      <c r="C345" s="3">
        <v>2</v>
      </c>
      <c r="D345" s="9">
        <f t="shared" si="6"/>
        <v>1.0752688172043012E-2</v>
      </c>
    </row>
    <row r="346" spans="2:4" x14ac:dyDescent="0.35">
      <c r="B346" s="4" t="s">
        <v>78</v>
      </c>
      <c r="C346" s="3">
        <v>1</v>
      </c>
      <c r="D346" s="9">
        <f t="shared" si="6"/>
        <v>5.3763440860215058E-3</v>
      </c>
    </row>
    <row r="347" spans="2:4" x14ac:dyDescent="0.35">
      <c r="B347" s="4" t="s">
        <v>67</v>
      </c>
      <c r="C347" s="3">
        <v>3</v>
      </c>
      <c r="D347" s="9">
        <f t="shared" si="6"/>
        <v>1.6129032258064516E-2</v>
      </c>
    </row>
    <row r="348" spans="2:4" x14ac:dyDescent="0.35">
      <c r="B348" s="4" t="s">
        <v>139</v>
      </c>
      <c r="C348" s="3">
        <v>6</v>
      </c>
      <c r="D348" s="9">
        <f t="shared" si="6"/>
        <v>3.2258064516129031E-2</v>
      </c>
    </row>
    <row r="349" spans="2:4" x14ac:dyDescent="0.35">
      <c r="B349" s="4" t="s">
        <v>116</v>
      </c>
      <c r="C349" s="3">
        <v>1</v>
      </c>
      <c r="D349" s="9">
        <f t="shared" si="6"/>
        <v>5.3763440860215058E-3</v>
      </c>
    </row>
    <row r="350" spans="2:4" x14ac:dyDescent="0.35">
      <c r="B350" s="4" t="s">
        <v>14</v>
      </c>
      <c r="C350" s="3">
        <v>2</v>
      </c>
      <c r="D350" s="9">
        <f t="shared" si="6"/>
        <v>1.0752688172043012E-2</v>
      </c>
    </row>
    <row r="351" spans="2:4" x14ac:dyDescent="0.35">
      <c r="B351" s="4" t="s">
        <v>12</v>
      </c>
      <c r="C351" s="3">
        <v>4</v>
      </c>
      <c r="D351" s="9">
        <f t="shared" si="6"/>
        <v>2.1505376344086023E-2</v>
      </c>
    </row>
    <row r="352" spans="2:4" x14ac:dyDescent="0.35">
      <c r="B352" s="4" t="s">
        <v>47</v>
      </c>
      <c r="C352" s="3">
        <v>2</v>
      </c>
      <c r="D352" s="9">
        <f t="shared" si="6"/>
        <v>1.0752688172043012E-2</v>
      </c>
    </row>
    <row r="353" spans="2:4" x14ac:dyDescent="0.35">
      <c r="B353" s="4" t="s">
        <v>39</v>
      </c>
      <c r="C353" s="3">
        <v>8</v>
      </c>
      <c r="D353" s="9">
        <f t="shared" si="6"/>
        <v>4.3010752688172046E-2</v>
      </c>
    </row>
    <row r="354" spans="2:4" x14ac:dyDescent="0.35">
      <c r="B354" s="4" t="s">
        <v>122</v>
      </c>
      <c r="C354" s="3">
        <v>2</v>
      </c>
      <c r="D354" s="9">
        <f t="shared" si="6"/>
        <v>1.0752688172043012E-2</v>
      </c>
    </row>
    <row r="355" spans="2:4" x14ac:dyDescent="0.35">
      <c r="B355" s="4" t="s">
        <v>28</v>
      </c>
      <c r="C355" s="3">
        <v>3</v>
      </c>
      <c r="D355" s="9">
        <f t="shared" si="6"/>
        <v>1.6129032258064516E-2</v>
      </c>
    </row>
    <row r="356" spans="2:4" x14ac:dyDescent="0.35">
      <c r="B356" s="4" t="s">
        <v>25</v>
      </c>
      <c r="C356" s="3">
        <v>8</v>
      </c>
      <c r="D356" s="9">
        <f t="shared" si="6"/>
        <v>4.3010752688172046E-2</v>
      </c>
    </row>
    <row r="357" spans="2:4" x14ac:dyDescent="0.35">
      <c r="B357" s="4" t="s">
        <v>112</v>
      </c>
      <c r="C357" s="3">
        <v>4</v>
      </c>
      <c r="D357" s="9">
        <f t="shared" si="6"/>
        <v>2.1505376344086023E-2</v>
      </c>
    </row>
    <row r="358" spans="2:4" x14ac:dyDescent="0.35">
      <c r="B358" s="4" t="s">
        <v>51</v>
      </c>
      <c r="C358" s="3">
        <v>6</v>
      </c>
      <c r="D358" s="9">
        <f t="shared" si="6"/>
        <v>3.2258064516129031E-2</v>
      </c>
    </row>
    <row r="359" spans="2:4" x14ac:dyDescent="0.35">
      <c r="B359" s="4" t="s">
        <v>40</v>
      </c>
      <c r="C359" s="3">
        <v>5</v>
      </c>
      <c r="D359" s="9">
        <f t="shared" si="6"/>
        <v>2.6881720430107527E-2</v>
      </c>
    </row>
    <row r="360" spans="2:4" x14ac:dyDescent="0.35">
      <c r="B360" s="4" t="s">
        <v>99</v>
      </c>
      <c r="C360" s="3">
        <v>5</v>
      </c>
      <c r="D360" s="9">
        <f t="shared" si="6"/>
        <v>2.6881720430107527E-2</v>
      </c>
    </row>
    <row r="361" spans="2:4" x14ac:dyDescent="0.35">
      <c r="B361" s="4" t="s">
        <v>73</v>
      </c>
      <c r="C361" s="3">
        <v>3</v>
      </c>
      <c r="D361" s="9">
        <f t="shared" si="6"/>
        <v>1.6129032258064516E-2</v>
      </c>
    </row>
    <row r="362" spans="2:4" x14ac:dyDescent="0.35">
      <c r="B362" s="4" t="s">
        <v>44</v>
      </c>
      <c r="C362" s="3">
        <v>1</v>
      </c>
      <c r="D362" s="9">
        <f t="shared" si="6"/>
        <v>5.3763440860215058E-3</v>
      </c>
    </row>
    <row r="363" spans="2:4" x14ac:dyDescent="0.35">
      <c r="B363" s="4" t="s">
        <v>23</v>
      </c>
      <c r="C363" s="3">
        <v>3</v>
      </c>
      <c r="D363" s="9">
        <f t="shared" si="6"/>
        <v>1.6129032258064516E-2</v>
      </c>
    </row>
    <row r="364" spans="2:4" x14ac:dyDescent="0.35">
      <c r="B364" s="4" t="s">
        <v>5</v>
      </c>
      <c r="C364" s="3">
        <v>2</v>
      </c>
      <c r="D364" s="9">
        <f t="shared" si="6"/>
        <v>1.0752688172043012E-2</v>
      </c>
    </row>
    <row r="365" spans="2:4" x14ac:dyDescent="0.35">
      <c r="B365" s="4" t="s">
        <v>42</v>
      </c>
      <c r="C365" s="3">
        <v>1</v>
      </c>
      <c r="D365" s="9">
        <f t="shared" si="6"/>
        <v>5.3763440860215058E-3</v>
      </c>
    </row>
    <row r="366" spans="2:4" x14ac:dyDescent="0.35">
      <c r="B366" s="4" t="s">
        <v>43</v>
      </c>
      <c r="C366" s="3">
        <v>3</v>
      </c>
      <c r="D366" s="9">
        <f t="shared" si="6"/>
        <v>1.6129032258064516E-2</v>
      </c>
    </row>
    <row r="367" spans="2:4" x14ac:dyDescent="0.35">
      <c r="B367" s="4" t="s">
        <v>72</v>
      </c>
      <c r="C367" s="3">
        <v>1</v>
      </c>
      <c r="D367" s="9">
        <f t="shared" si="6"/>
        <v>5.3763440860215058E-3</v>
      </c>
    </row>
    <row r="368" spans="2:4" x14ac:dyDescent="0.35">
      <c r="B368" s="4" t="s">
        <v>83</v>
      </c>
      <c r="C368" s="3">
        <v>7</v>
      </c>
      <c r="D368" s="9">
        <f t="shared" si="6"/>
        <v>3.7634408602150539E-2</v>
      </c>
    </row>
    <row r="369" spans="1:4" x14ac:dyDescent="0.35">
      <c r="B369" s="4" t="s">
        <v>65</v>
      </c>
      <c r="C369" s="3">
        <v>6</v>
      </c>
      <c r="D369" s="9">
        <f t="shared" si="6"/>
        <v>3.2258064516129031E-2</v>
      </c>
    </row>
    <row r="370" spans="1:4" x14ac:dyDescent="0.35">
      <c r="B370" s="4" t="s">
        <v>95</v>
      </c>
      <c r="C370" s="3">
        <v>1</v>
      </c>
      <c r="D370" s="9">
        <f t="shared" si="6"/>
        <v>5.3763440860215058E-3</v>
      </c>
    </row>
    <row r="371" spans="1:4" x14ac:dyDescent="0.35">
      <c r="A371" s="5" t="s">
        <v>427</v>
      </c>
      <c r="C371" s="3">
        <v>180</v>
      </c>
    </row>
    <row r="372" spans="1:4" x14ac:dyDescent="0.35">
      <c r="B372" s="4" t="s">
        <v>150</v>
      </c>
      <c r="C372" s="3">
        <v>1</v>
      </c>
      <c r="D372" s="9">
        <f>C372/180</f>
        <v>5.5555555555555558E-3</v>
      </c>
    </row>
    <row r="373" spans="1:4" x14ac:dyDescent="0.35">
      <c r="B373" s="4" t="s">
        <v>55</v>
      </c>
      <c r="C373" s="3">
        <v>4</v>
      </c>
      <c r="D373" s="9">
        <f t="shared" ref="D373:D428" si="7">C373/180</f>
        <v>2.2222222222222223E-2</v>
      </c>
    </row>
    <row r="374" spans="1:4" x14ac:dyDescent="0.35">
      <c r="B374" s="4" t="s">
        <v>45</v>
      </c>
      <c r="C374" s="3">
        <v>4</v>
      </c>
      <c r="D374" s="9">
        <f t="shared" si="7"/>
        <v>2.2222222222222223E-2</v>
      </c>
    </row>
    <row r="375" spans="1:4" x14ac:dyDescent="0.35">
      <c r="B375" s="4" t="s">
        <v>317</v>
      </c>
      <c r="C375" s="3">
        <v>7</v>
      </c>
      <c r="D375" s="9">
        <f t="shared" si="7"/>
        <v>3.888888888888889E-2</v>
      </c>
    </row>
    <row r="376" spans="1:4" x14ac:dyDescent="0.35">
      <c r="B376" s="4" t="s">
        <v>75</v>
      </c>
      <c r="C376" s="3">
        <v>4</v>
      </c>
      <c r="D376" s="9">
        <f t="shared" si="7"/>
        <v>2.2222222222222223E-2</v>
      </c>
    </row>
    <row r="377" spans="1:4" x14ac:dyDescent="0.35">
      <c r="B377" s="4" t="s">
        <v>394</v>
      </c>
      <c r="C377" s="3">
        <v>3</v>
      </c>
      <c r="D377" s="9">
        <f t="shared" si="7"/>
        <v>1.6666666666666666E-2</v>
      </c>
    </row>
    <row r="378" spans="1:4" x14ac:dyDescent="0.35">
      <c r="B378" s="4" t="s">
        <v>29</v>
      </c>
      <c r="C378" s="3">
        <v>2</v>
      </c>
      <c r="D378" s="9">
        <f t="shared" si="7"/>
        <v>1.1111111111111112E-2</v>
      </c>
    </row>
    <row r="379" spans="1:4" x14ac:dyDescent="0.35">
      <c r="B379" s="4" t="s">
        <v>152</v>
      </c>
      <c r="C379" s="3">
        <v>2</v>
      </c>
      <c r="D379" s="9">
        <f t="shared" si="7"/>
        <v>1.1111111111111112E-2</v>
      </c>
    </row>
    <row r="380" spans="1:4" x14ac:dyDescent="0.35">
      <c r="B380" s="4" t="s">
        <v>56</v>
      </c>
      <c r="C380" s="3">
        <v>3</v>
      </c>
      <c r="D380" s="9">
        <f t="shared" si="7"/>
        <v>1.6666666666666666E-2</v>
      </c>
    </row>
    <row r="381" spans="1:4" x14ac:dyDescent="0.35">
      <c r="B381" s="4" t="s">
        <v>102</v>
      </c>
      <c r="C381" s="3">
        <v>5</v>
      </c>
      <c r="D381" s="9">
        <f t="shared" si="7"/>
        <v>2.7777777777777776E-2</v>
      </c>
    </row>
    <row r="382" spans="1:4" x14ac:dyDescent="0.35">
      <c r="B382" s="4" t="s">
        <v>106</v>
      </c>
      <c r="C382" s="3">
        <v>5</v>
      </c>
      <c r="D382" s="9">
        <f t="shared" si="7"/>
        <v>2.7777777777777776E-2</v>
      </c>
    </row>
    <row r="383" spans="1:4" x14ac:dyDescent="0.35">
      <c r="B383" s="4" t="s">
        <v>156</v>
      </c>
      <c r="C383" s="3">
        <v>3</v>
      </c>
      <c r="D383" s="9">
        <f t="shared" si="7"/>
        <v>1.6666666666666666E-2</v>
      </c>
    </row>
    <row r="384" spans="1:4" x14ac:dyDescent="0.35">
      <c r="B384" s="4" t="s">
        <v>316</v>
      </c>
      <c r="C384" s="3">
        <v>3</v>
      </c>
      <c r="D384" s="9">
        <f t="shared" si="7"/>
        <v>1.6666666666666666E-2</v>
      </c>
    </row>
    <row r="385" spans="2:4" x14ac:dyDescent="0.35">
      <c r="B385" s="4" t="s">
        <v>26</v>
      </c>
      <c r="C385" s="3">
        <v>2</v>
      </c>
      <c r="D385" s="9">
        <f t="shared" si="7"/>
        <v>1.1111111111111112E-2</v>
      </c>
    </row>
    <row r="386" spans="2:4" x14ac:dyDescent="0.35">
      <c r="B386" s="4" t="s">
        <v>33</v>
      </c>
      <c r="C386" s="3">
        <v>3</v>
      </c>
      <c r="D386" s="9">
        <f t="shared" si="7"/>
        <v>1.6666666666666666E-2</v>
      </c>
    </row>
    <row r="387" spans="2:4" x14ac:dyDescent="0.35">
      <c r="B387" s="4" t="s">
        <v>19</v>
      </c>
      <c r="C387" s="3">
        <v>1</v>
      </c>
      <c r="D387" s="9">
        <f t="shared" si="7"/>
        <v>5.5555555555555558E-3</v>
      </c>
    </row>
    <row r="388" spans="2:4" x14ac:dyDescent="0.35">
      <c r="B388" s="4" t="s">
        <v>86</v>
      </c>
      <c r="C388" s="3">
        <v>3</v>
      </c>
      <c r="D388" s="9">
        <f t="shared" si="7"/>
        <v>1.6666666666666666E-2</v>
      </c>
    </row>
    <row r="389" spans="2:4" x14ac:dyDescent="0.35">
      <c r="B389" s="4" t="s">
        <v>134</v>
      </c>
      <c r="C389" s="3">
        <v>13</v>
      </c>
      <c r="D389" s="9">
        <f t="shared" si="7"/>
        <v>7.2222222222222215E-2</v>
      </c>
    </row>
    <row r="390" spans="2:4" x14ac:dyDescent="0.35">
      <c r="B390" s="4" t="s">
        <v>84</v>
      </c>
      <c r="C390" s="3">
        <v>2</v>
      </c>
      <c r="D390" s="9">
        <f t="shared" si="7"/>
        <v>1.1111111111111112E-2</v>
      </c>
    </row>
    <row r="391" spans="2:4" x14ac:dyDescent="0.35">
      <c r="B391" s="4" t="s">
        <v>97</v>
      </c>
      <c r="C391" s="3">
        <v>4</v>
      </c>
      <c r="D391" s="9">
        <f t="shared" si="7"/>
        <v>2.2222222222222223E-2</v>
      </c>
    </row>
    <row r="392" spans="2:4" x14ac:dyDescent="0.35">
      <c r="B392" s="4" t="s">
        <v>145</v>
      </c>
      <c r="C392" s="3">
        <v>3</v>
      </c>
      <c r="D392" s="9">
        <f t="shared" si="7"/>
        <v>1.6666666666666666E-2</v>
      </c>
    </row>
    <row r="393" spans="2:4" x14ac:dyDescent="0.35">
      <c r="B393" s="4" t="s">
        <v>81</v>
      </c>
      <c r="C393" s="3">
        <v>5</v>
      </c>
      <c r="D393" s="9">
        <f t="shared" si="7"/>
        <v>2.7777777777777776E-2</v>
      </c>
    </row>
    <row r="394" spans="2:4" x14ac:dyDescent="0.35">
      <c r="B394" s="4" t="s">
        <v>168</v>
      </c>
      <c r="C394" s="3">
        <v>1</v>
      </c>
      <c r="D394" s="9">
        <f t="shared" si="7"/>
        <v>5.5555555555555558E-3</v>
      </c>
    </row>
    <row r="395" spans="2:4" x14ac:dyDescent="0.35">
      <c r="B395" s="4" t="s">
        <v>91</v>
      </c>
      <c r="C395" s="3">
        <v>1</v>
      </c>
      <c r="D395" s="9">
        <f t="shared" si="7"/>
        <v>5.5555555555555558E-3</v>
      </c>
    </row>
    <row r="396" spans="2:4" x14ac:dyDescent="0.35">
      <c r="B396" s="4" t="s">
        <v>401</v>
      </c>
      <c r="C396" s="3">
        <v>3</v>
      </c>
      <c r="D396" s="9">
        <f t="shared" si="7"/>
        <v>1.6666666666666666E-2</v>
      </c>
    </row>
    <row r="397" spans="2:4" x14ac:dyDescent="0.35">
      <c r="B397" s="4" t="s">
        <v>61</v>
      </c>
      <c r="C397" s="3">
        <v>2</v>
      </c>
      <c r="D397" s="9">
        <f t="shared" si="7"/>
        <v>1.1111111111111112E-2</v>
      </c>
    </row>
    <row r="398" spans="2:4" x14ac:dyDescent="0.35">
      <c r="B398" s="4" t="s">
        <v>167</v>
      </c>
      <c r="C398" s="3">
        <v>2</v>
      </c>
      <c r="D398" s="9">
        <f t="shared" si="7"/>
        <v>1.1111111111111112E-2</v>
      </c>
    </row>
    <row r="399" spans="2:4" x14ac:dyDescent="0.35">
      <c r="B399" s="4" t="s">
        <v>381</v>
      </c>
      <c r="C399" s="3">
        <v>1</v>
      </c>
      <c r="D399" s="9">
        <f t="shared" si="7"/>
        <v>5.5555555555555558E-3</v>
      </c>
    </row>
    <row r="400" spans="2:4" x14ac:dyDescent="0.35">
      <c r="B400" s="4" t="s">
        <v>49</v>
      </c>
      <c r="C400" s="3">
        <v>2</v>
      </c>
      <c r="D400" s="9">
        <f t="shared" si="7"/>
        <v>1.1111111111111112E-2</v>
      </c>
    </row>
    <row r="401" spans="2:4" x14ac:dyDescent="0.35">
      <c r="B401" s="4" t="s">
        <v>120</v>
      </c>
      <c r="C401" s="3">
        <v>1</v>
      </c>
      <c r="D401" s="9">
        <f t="shared" si="7"/>
        <v>5.5555555555555558E-3</v>
      </c>
    </row>
    <row r="402" spans="2:4" x14ac:dyDescent="0.35">
      <c r="B402" s="4" t="s">
        <v>226</v>
      </c>
      <c r="C402" s="3">
        <v>3</v>
      </c>
      <c r="D402" s="9">
        <f t="shared" si="7"/>
        <v>1.6666666666666666E-2</v>
      </c>
    </row>
    <row r="403" spans="2:4" x14ac:dyDescent="0.35">
      <c r="B403" s="4" t="s">
        <v>111</v>
      </c>
      <c r="C403" s="3">
        <v>1</v>
      </c>
      <c r="D403" s="9">
        <f t="shared" si="7"/>
        <v>5.5555555555555558E-3</v>
      </c>
    </row>
    <row r="404" spans="2:4" x14ac:dyDescent="0.35">
      <c r="B404" s="4" t="s">
        <v>71</v>
      </c>
      <c r="C404" s="3">
        <v>2</v>
      </c>
      <c r="D404" s="9">
        <f t="shared" si="7"/>
        <v>1.1111111111111112E-2</v>
      </c>
    </row>
    <row r="405" spans="2:4" x14ac:dyDescent="0.35">
      <c r="B405" s="4" t="s">
        <v>67</v>
      </c>
      <c r="C405" s="3">
        <v>4</v>
      </c>
      <c r="D405" s="9">
        <f t="shared" si="7"/>
        <v>2.2222222222222223E-2</v>
      </c>
    </row>
    <row r="406" spans="2:4" x14ac:dyDescent="0.35">
      <c r="B406" s="4" t="s">
        <v>139</v>
      </c>
      <c r="C406" s="3">
        <v>5</v>
      </c>
      <c r="D406" s="9">
        <f t="shared" si="7"/>
        <v>2.7777777777777776E-2</v>
      </c>
    </row>
    <row r="407" spans="2:4" x14ac:dyDescent="0.35">
      <c r="B407" s="4" t="s">
        <v>57</v>
      </c>
      <c r="C407" s="3">
        <v>3</v>
      </c>
      <c r="D407" s="9">
        <f t="shared" si="7"/>
        <v>1.6666666666666666E-2</v>
      </c>
    </row>
    <row r="408" spans="2:4" x14ac:dyDescent="0.35">
      <c r="B408" s="4" t="s">
        <v>14</v>
      </c>
      <c r="C408" s="3">
        <v>1</v>
      </c>
      <c r="D408" s="9">
        <f t="shared" si="7"/>
        <v>5.5555555555555558E-3</v>
      </c>
    </row>
    <row r="409" spans="2:4" x14ac:dyDescent="0.35">
      <c r="B409" s="4" t="s">
        <v>12</v>
      </c>
      <c r="C409" s="3">
        <v>2</v>
      </c>
      <c r="D409" s="9">
        <f t="shared" si="7"/>
        <v>1.1111111111111112E-2</v>
      </c>
    </row>
    <row r="410" spans="2:4" x14ac:dyDescent="0.35">
      <c r="B410" s="4" t="s">
        <v>47</v>
      </c>
      <c r="C410" s="3">
        <v>3</v>
      </c>
      <c r="D410" s="9">
        <f t="shared" si="7"/>
        <v>1.6666666666666666E-2</v>
      </c>
    </row>
    <row r="411" spans="2:4" x14ac:dyDescent="0.35">
      <c r="B411" s="4" t="s">
        <v>39</v>
      </c>
      <c r="C411" s="3">
        <v>5</v>
      </c>
      <c r="D411" s="9">
        <f t="shared" si="7"/>
        <v>2.7777777777777776E-2</v>
      </c>
    </row>
    <row r="412" spans="2:4" x14ac:dyDescent="0.35">
      <c r="B412" s="4" t="s">
        <v>153</v>
      </c>
      <c r="C412" s="3">
        <v>6</v>
      </c>
      <c r="D412" s="9">
        <f t="shared" si="7"/>
        <v>3.3333333333333333E-2</v>
      </c>
    </row>
    <row r="413" spans="2:4" x14ac:dyDescent="0.35">
      <c r="B413" s="4" t="s">
        <v>82</v>
      </c>
      <c r="C413" s="3">
        <v>3</v>
      </c>
      <c r="D413" s="9">
        <f t="shared" si="7"/>
        <v>1.6666666666666666E-2</v>
      </c>
    </row>
    <row r="414" spans="2:4" x14ac:dyDescent="0.35">
      <c r="B414" s="4" t="s">
        <v>98</v>
      </c>
      <c r="C414" s="3">
        <v>3</v>
      </c>
      <c r="D414" s="9">
        <f t="shared" si="7"/>
        <v>1.6666666666666666E-2</v>
      </c>
    </row>
    <row r="415" spans="2:4" x14ac:dyDescent="0.35">
      <c r="B415" s="4" t="s">
        <v>25</v>
      </c>
      <c r="C415" s="3">
        <v>3</v>
      </c>
      <c r="D415" s="9">
        <f t="shared" si="7"/>
        <v>1.6666666666666666E-2</v>
      </c>
    </row>
    <row r="416" spans="2:4" x14ac:dyDescent="0.35">
      <c r="B416" s="4" t="s">
        <v>112</v>
      </c>
      <c r="C416" s="3">
        <v>4</v>
      </c>
      <c r="D416" s="9">
        <f t="shared" si="7"/>
        <v>2.2222222222222223E-2</v>
      </c>
    </row>
    <row r="417" spans="1:4" x14ac:dyDescent="0.35">
      <c r="B417" s="4" t="s">
        <v>51</v>
      </c>
      <c r="C417" s="3">
        <v>3</v>
      </c>
      <c r="D417" s="9">
        <f t="shared" si="7"/>
        <v>1.6666666666666666E-2</v>
      </c>
    </row>
    <row r="418" spans="1:4" x14ac:dyDescent="0.35">
      <c r="B418" s="4" t="s">
        <v>40</v>
      </c>
      <c r="C418" s="3">
        <v>13</v>
      </c>
      <c r="D418" s="9">
        <f t="shared" si="7"/>
        <v>7.2222222222222215E-2</v>
      </c>
    </row>
    <row r="419" spans="1:4" x14ac:dyDescent="0.35">
      <c r="B419" s="4" t="s">
        <v>73</v>
      </c>
      <c r="C419" s="3">
        <v>7</v>
      </c>
      <c r="D419" s="9">
        <f t="shared" si="7"/>
        <v>3.888888888888889E-2</v>
      </c>
    </row>
    <row r="420" spans="1:4" x14ac:dyDescent="0.35">
      <c r="B420" s="4" t="s">
        <v>118</v>
      </c>
      <c r="C420" s="3">
        <v>1</v>
      </c>
      <c r="D420" s="9">
        <f t="shared" si="7"/>
        <v>5.5555555555555558E-3</v>
      </c>
    </row>
    <row r="421" spans="1:4" x14ac:dyDescent="0.35">
      <c r="B421" s="4" t="s">
        <v>44</v>
      </c>
      <c r="C421" s="3">
        <v>2</v>
      </c>
      <c r="D421" s="9">
        <f t="shared" si="7"/>
        <v>1.1111111111111112E-2</v>
      </c>
    </row>
    <row r="422" spans="1:4" x14ac:dyDescent="0.35">
      <c r="B422" s="4" t="s">
        <v>5</v>
      </c>
      <c r="C422" s="3">
        <v>3</v>
      </c>
      <c r="D422" s="9">
        <f t="shared" si="7"/>
        <v>1.6666666666666666E-2</v>
      </c>
    </row>
    <row r="423" spans="1:4" x14ac:dyDescent="0.35">
      <c r="B423" s="4" t="s">
        <v>96</v>
      </c>
      <c r="C423" s="3">
        <v>1</v>
      </c>
      <c r="D423" s="9">
        <f t="shared" si="7"/>
        <v>5.5555555555555558E-3</v>
      </c>
    </row>
    <row r="424" spans="1:4" x14ac:dyDescent="0.35">
      <c r="B424" s="4" t="s">
        <v>21</v>
      </c>
      <c r="C424" s="3">
        <v>1</v>
      </c>
      <c r="D424" s="9">
        <f t="shared" si="7"/>
        <v>5.5555555555555558E-3</v>
      </c>
    </row>
    <row r="425" spans="1:4" x14ac:dyDescent="0.35">
      <c r="B425" s="4" t="s">
        <v>43</v>
      </c>
      <c r="C425" s="3">
        <v>1</v>
      </c>
      <c r="D425" s="9">
        <f t="shared" si="7"/>
        <v>5.5555555555555558E-3</v>
      </c>
    </row>
    <row r="426" spans="1:4" x14ac:dyDescent="0.35">
      <c r="B426" s="4" t="s">
        <v>83</v>
      </c>
      <c r="C426" s="3">
        <v>3</v>
      </c>
      <c r="D426" s="9">
        <f t="shared" si="7"/>
        <v>1.6666666666666666E-2</v>
      </c>
    </row>
    <row r="427" spans="1:4" x14ac:dyDescent="0.35">
      <c r="B427" s="4" t="s">
        <v>65</v>
      </c>
      <c r="C427" s="3">
        <v>1</v>
      </c>
      <c r="D427" s="9">
        <f t="shared" si="7"/>
        <v>5.5555555555555558E-3</v>
      </c>
    </row>
    <row r="428" spans="1:4" x14ac:dyDescent="0.35">
      <c r="B428" s="4" t="s">
        <v>95</v>
      </c>
      <c r="C428" s="3">
        <v>1</v>
      </c>
      <c r="D428" s="9">
        <f t="shared" si="7"/>
        <v>5.5555555555555558E-3</v>
      </c>
    </row>
    <row r="429" spans="1:4" x14ac:dyDescent="0.35">
      <c r="A429" s="5" t="s">
        <v>428</v>
      </c>
      <c r="C429" s="3">
        <v>184</v>
      </c>
    </row>
    <row r="430" spans="1:4" x14ac:dyDescent="0.35">
      <c r="B430" s="4" t="s">
        <v>150</v>
      </c>
      <c r="C430" s="3">
        <v>1</v>
      </c>
      <c r="D430" s="9">
        <f>C430/184</f>
        <v>5.434782608695652E-3</v>
      </c>
    </row>
    <row r="431" spans="1:4" x14ac:dyDescent="0.35">
      <c r="B431" s="4" t="s">
        <v>55</v>
      </c>
      <c r="C431" s="3">
        <v>3</v>
      </c>
      <c r="D431" s="9">
        <f t="shared" ref="D431:D490" si="8">C431/184</f>
        <v>1.6304347826086956E-2</v>
      </c>
    </row>
    <row r="432" spans="1:4" x14ac:dyDescent="0.35">
      <c r="B432" s="4" t="s">
        <v>45</v>
      </c>
      <c r="C432" s="3">
        <v>4</v>
      </c>
      <c r="D432" s="9">
        <f t="shared" si="8"/>
        <v>2.1739130434782608E-2</v>
      </c>
    </row>
    <row r="433" spans="2:4" x14ac:dyDescent="0.35">
      <c r="B433" s="4" t="s">
        <v>317</v>
      </c>
      <c r="C433" s="3">
        <v>7</v>
      </c>
      <c r="D433" s="9">
        <f t="shared" si="8"/>
        <v>3.8043478260869568E-2</v>
      </c>
    </row>
    <row r="434" spans="2:4" x14ac:dyDescent="0.35">
      <c r="B434" s="4" t="s">
        <v>75</v>
      </c>
      <c r="C434" s="3">
        <v>1</v>
      </c>
      <c r="D434" s="9">
        <f t="shared" si="8"/>
        <v>5.434782608695652E-3</v>
      </c>
    </row>
    <row r="435" spans="2:4" x14ac:dyDescent="0.35">
      <c r="B435" s="4" t="s">
        <v>394</v>
      </c>
      <c r="C435" s="3">
        <v>1</v>
      </c>
      <c r="D435" s="9">
        <f t="shared" si="8"/>
        <v>5.434782608695652E-3</v>
      </c>
    </row>
    <row r="436" spans="2:4" x14ac:dyDescent="0.35">
      <c r="B436" s="4" t="s">
        <v>29</v>
      </c>
      <c r="C436" s="3">
        <v>4</v>
      </c>
      <c r="D436" s="9">
        <f t="shared" si="8"/>
        <v>2.1739130434782608E-2</v>
      </c>
    </row>
    <row r="437" spans="2:4" x14ac:dyDescent="0.35">
      <c r="B437" s="4" t="s">
        <v>68</v>
      </c>
      <c r="C437" s="3">
        <v>1</v>
      </c>
      <c r="D437" s="9">
        <f t="shared" si="8"/>
        <v>5.434782608695652E-3</v>
      </c>
    </row>
    <row r="438" spans="2:4" x14ac:dyDescent="0.35">
      <c r="B438" s="4" t="s">
        <v>152</v>
      </c>
      <c r="C438" s="3">
        <v>1</v>
      </c>
      <c r="D438" s="9">
        <f t="shared" si="8"/>
        <v>5.434782608695652E-3</v>
      </c>
    </row>
    <row r="439" spans="2:4" x14ac:dyDescent="0.35">
      <c r="B439" s="4" t="s">
        <v>56</v>
      </c>
      <c r="C439" s="3">
        <v>2</v>
      </c>
      <c r="D439" s="9">
        <f t="shared" si="8"/>
        <v>1.0869565217391304E-2</v>
      </c>
    </row>
    <row r="440" spans="2:4" x14ac:dyDescent="0.35">
      <c r="B440" s="4" t="s">
        <v>13</v>
      </c>
      <c r="C440" s="3">
        <v>2</v>
      </c>
      <c r="D440" s="9">
        <f t="shared" si="8"/>
        <v>1.0869565217391304E-2</v>
      </c>
    </row>
    <row r="441" spans="2:4" x14ac:dyDescent="0.35">
      <c r="B441" s="4" t="s">
        <v>106</v>
      </c>
      <c r="C441" s="3">
        <v>5</v>
      </c>
      <c r="D441" s="9">
        <f t="shared" si="8"/>
        <v>2.717391304347826E-2</v>
      </c>
    </row>
    <row r="442" spans="2:4" x14ac:dyDescent="0.35">
      <c r="B442" s="4" t="s">
        <v>101</v>
      </c>
      <c r="C442" s="3">
        <v>4</v>
      </c>
      <c r="D442" s="9">
        <f t="shared" si="8"/>
        <v>2.1739130434782608E-2</v>
      </c>
    </row>
    <row r="443" spans="2:4" x14ac:dyDescent="0.35">
      <c r="B443" s="4" t="s">
        <v>316</v>
      </c>
      <c r="C443" s="3">
        <v>1</v>
      </c>
      <c r="D443" s="9">
        <f t="shared" si="8"/>
        <v>5.434782608695652E-3</v>
      </c>
    </row>
    <row r="444" spans="2:4" x14ac:dyDescent="0.35">
      <c r="B444" s="4" t="s">
        <v>53</v>
      </c>
      <c r="C444" s="3">
        <v>8</v>
      </c>
      <c r="D444" s="9">
        <f t="shared" si="8"/>
        <v>4.3478260869565216E-2</v>
      </c>
    </row>
    <row r="445" spans="2:4" x14ac:dyDescent="0.35">
      <c r="B445" s="4" t="s">
        <v>191</v>
      </c>
      <c r="C445" s="3">
        <v>1</v>
      </c>
      <c r="D445" s="9">
        <f t="shared" si="8"/>
        <v>5.434782608695652E-3</v>
      </c>
    </row>
    <row r="446" spans="2:4" x14ac:dyDescent="0.35">
      <c r="B446" s="4" t="s">
        <v>33</v>
      </c>
      <c r="C446" s="3">
        <v>3</v>
      </c>
      <c r="D446" s="9">
        <f t="shared" si="8"/>
        <v>1.6304347826086956E-2</v>
      </c>
    </row>
    <row r="447" spans="2:4" x14ac:dyDescent="0.35">
      <c r="B447" s="4" t="s">
        <v>19</v>
      </c>
      <c r="C447" s="3">
        <v>3</v>
      </c>
      <c r="D447" s="9">
        <f t="shared" si="8"/>
        <v>1.6304347826086956E-2</v>
      </c>
    </row>
    <row r="448" spans="2:4" x14ac:dyDescent="0.35">
      <c r="B448" s="4" t="s">
        <v>86</v>
      </c>
      <c r="C448" s="3">
        <v>5</v>
      </c>
      <c r="D448" s="9">
        <f t="shared" si="8"/>
        <v>2.717391304347826E-2</v>
      </c>
    </row>
    <row r="449" spans="2:4" x14ac:dyDescent="0.35">
      <c r="B449" s="4" t="s">
        <v>134</v>
      </c>
      <c r="C449" s="3">
        <v>4</v>
      </c>
      <c r="D449" s="9">
        <f t="shared" si="8"/>
        <v>2.1739130434782608E-2</v>
      </c>
    </row>
    <row r="450" spans="2:4" x14ac:dyDescent="0.35">
      <c r="B450" s="4" t="s">
        <v>80</v>
      </c>
      <c r="C450" s="3">
        <v>4</v>
      </c>
      <c r="D450" s="9">
        <f t="shared" si="8"/>
        <v>2.1739130434782608E-2</v>
      </c>
    </row>
    <row r="451" spans="2:4" x14ac:dyDescent="0.35">
      <c r="B451" s="4" t="s">
        <v>84</v>
      </c>
      <c r="C451" s="3">
        <v>1</v>
      </c>
      <c r="D451" s="9">
        <f t="shared" si="8"/>
        <v>5.434782608695652E-3</v>
      </c>
    </row>
    <row r="452" spans="2:4" x14ac:dyDescent="0.35">
      <c r="B452" s="4" t="s">
        <v>97</v>
      </c>
      <c r="C452" s="3">
        <v>1</v>
      </c>
      <c r="D452" s="9">
        <f t="shared" si="8"/>
        <v>5.434782608695652E-3</v>
      </c>
    </row>
    <row r="453" spans="2:4" x14ac:dyDescent="0.35">
      <c r="B453" s="4" t="s">
        <v>145</v>
      </c>
      <c r="C453" s="3">
        <v>4</v>
      </c>
      <c r="D453" s="9">
        <f t="shared" si="8"/>
        <v>2.1739130434782608E-2</v>
      </c>
    </row>
    <row r="454" spans="2:4" x14ac:dyDescent="0.35">
      <c r="B454" s="4" t="s">
        <v>81</v>
      </c>
      <c r="C454" s="3">
        <v>4</v>
      </c>
      <c r="D454" s="9">
        <f t="shared" si="8"/>
        <v>2.1739130434782608E-2</v>
      </c>
    </row>
    <row r="455" spans="2:4" x14ac:dyDescent="0.35">
      <c r="B455" s="4" t="s">
        <v>168</v>
      </c>
      <c r="C455" s="3">
        <v>1</v>
      </c>
      <c r="D455" s="9">
        <f t="shared" si="8"/>
        <v>5.434782608695652E-3</v>
      </c>
    </row>
    <row r="456" spans="2:4" x14ac:dyDescent="0.35">
      <c r="B456" s="4" t="s">
        <v>91</v>
      </c>
      <c r="C456" s="3">
        <v>5</v>
      </c>
      <c r="D456" s="9">
        <f t="shared" si="8"/>
        <v>2.717391304347826E-2</v>
      </c>
    </row>
    <row r="457" spans="2:4" x14ac:dyDescent="0.35">
      <c r="B457" s="4" t="s">
        <v>401</v>
      </c>
      <c r="C457" s="3">
        <v>4</v>
      </c>
      <c r="D457" s="9">
        <f t="shared" si="8"/>
        <v>2.1739130434782608E-2</v>
      </c>
    </row>
    <row r="458" spans="2:4" x14ac:dyDescent="0.35">
      <c r="B458" s="4" t="s">
        <v>167</v>
      </c>
      <c r="C458" s="3">
        <v>4</v>
      </c>
      <c r="D458" s="9">
        <f t="shared" si="8"/>
        <v>2.1739130434782608E-2</v>
      </c>
    </row>
    <row r="459" spans="2:4" x14ac:dyDescent="0.35">
      <c r="B459" s="4" t="s">
        <v>381</v>
      </c>
      <c r="C459" s="3">
        <v>6</v>
      </c>
      <c r="D459" s="9">
        <f t="shared" si="8"/>
        <v>3.2608695652173912E-2</v>
      </c>
    </row>
    <row r="460" spans="2:4" x14ac:dyDescent="0.35">
      <c r="B460" s="4" t="s">
        <v>49</v>
      </c>
      <c r="C460" s="3">
        <v>3</v>
      </c>
      <c r="D460" s="9">
        <f t="shared" si="8"/>
        <v>1.6304347826086956E-2</v>
      </c>
    </row>
    <row r="461" spans="2:4" x14ac:dyDescent="0.35">
      <c r="B461" s="4" t="s">
        <v>226</v>
      </c>
      <c r="C461" s="3">
        <v>2</v>
      </c>
      <c r="D461" s="9">
        <f t="shared" si="8"/>
        <v>1.0869565217391304E-2</v>
      </c>
    </row>
    <row r="462" spans="2:4" x14ac:dyDescent="0.35">
      <c r="B462" s="4" t="s">
        <v>111</v>
      </c>
      <c r="C462" s="3">
        <v>1</v>
      </c>
      <c r="D462" s="9">
        <f t="shared" si="8"/>
        <v>5.434782608695652E-3</v>
      </c>
    </row>
    <row r="463" spans="2:4" x14ac:dyDescent="0.35">
      <c r="B463" s="4" t="s">
        <v>71</v>
      </c>
      <c r="C463" s="3">
        <v>2</v>
      </c>
      <c r="D463" s="9">
        <f t="shared" si="8"/>
        <v>1.0869565217391304E-2</v>
      </c>
    </row>
    <row r="464" spans="2:4" x14ac:dyDescent="0.35">
      <c r="B464" s="4" t="s">
        <v>78</v>
      </c>
      <c r="C464" s="3">
        <v>2</v>
      </c>
      <c r="D464" s="9">
        <f t="shared" si="8"/>
        <v>1.0869565217391304E-2</v>
      </c>
    </row>
    <row r="465" spans="2:4" x14ac:dyDescent="0.35">
      <c r="B465" s="4" t="s">
        <v>67</v>
      </c>
      <c r="C465" s="3">
        <v>3</v>
      </c>
      <c r="D465" s="9">
        <f t="shared" si="8"/>
        <v>1.6304347826086956E-2</v>
      </c>
    </row>
    <row r="466" spans="2:4" x14ac:dyDescent="0.35">
      <c r="B466" s="4" t="s">
        <v>57</v>
      </c>
      <c r="C466" s="3">
        <v>1</v>
      </c>
      <c r="D466" s="9">
        <f t="shared" si="8"/>
        <v>5.434782608695652E-3</v>
      </c>
    </row>
    <row r="467" spans="2:4" x14ac:dyDescent="0.35">
      <c r="B467" s="4" t="s">
        <v>116</v>
      </c>
      <c r="C467" s="3">
        <v>1</v>
      </c>
      <c r="D467" s="9">
        <f t="shared" si="8"/>
        <v>5.434782608695652E-3</v>
      </c>
    </row>
    <row r="468" spans="2:4" x14ac:dyDescent="0.35">
      <c r="B468" s="4" t="s">
        <v>14</v>
      </c>
      <c r="C468" s="3">
        <v>4</v>
      </c>
      <c r="D468" s="9">
        <f t="shared" si="8"/>
        <v>2.1739130434782608E-2</v>
      </c>
    </row>
    <row r="469" spans="2:4" x14ac:dyDescent="0.35">
      <c r="B469" s="4" t="s">
        <v>12</v>
      </c>
      <c r="C469" s="3">
        <v>2</v>
      </c>
      <c r="D469" s="9">
        <f t="shared" si="8"/>
        <v>1.0869565217391304E-2</v>
      </c>
    </row>
    <row r="470" spans="2:4" x14ac:dyDescent="0.35">
      <c r="B470" s="4" t="s">
        <v>47</v>
      </c>
      <c r="C470" s="3">
        <v>4</v>
      </c>
      <c r="D470" s="9">
        <f t="shared" si="8"/>
        <v>2.1739130434782608E-2</v>
      </c>
    </row>
    <row r="471" spans="2:4" x14ac:dyDescent="0.35">
      <c r="B471" s="4" t="s">
        <v>39</v>
      </c>
      <c r="C471" s="3">
        <v>6</v>
      </c>
      <c r="D471" s="9">
        <f t="shared" si="8"/>
        <v>3.2608695652173912E-2</v>
      </c>
    </row>
    <row r="472" spans="2:4" x14ac:dyDescent="0.35">
      <c r="B472" s="4" t="s">
        <v>153</v>
      </c>
      <c r="C472" s="3">
        <v>9</v>
      </c>
      <c r="D472" s="9">
        <f t="shared" si="8"/>
        <v>4.8913043478260872E-2</v>
      </c>
    </row>
    <row r="473" spans="2:4" x14ac:dyDescent="0.35">
      <c r="B473" s="4" t="s">
        <v>82</v>
      </c>
      <c r="C473" s="3">
        <v>2</v>
      </c>
      <c r="D473" s="9">
        <f t="shared" si="8"/>
        <v>1.0869565217391304E-2</v>
      </c>
    </row>
    <row r="474" spans="2:4" x14ac:dyDescent="0.35">
      <c r="B474" s="4" t="s">
        <v>122</v>
      </c>
      <c r="C474" s="3">
        <v>1</v>
      </c>
      <c r="D474" s="9">
        <f t="shared" si="8"/>
        <v>5.434782608695652E-3</v>
      </c>
    </row>
    <row r="475" spans="2:4" x14ac:dyDescent="0.35">
      <c r="B475" s="4" t="s">
        <v>28</v>
      </c>
      <c r="C475" s="3">
        <v>2</v>
      </c>
      <c r="D475" s="9">
        <f t="shared" si="8"/>
        <v>1.0869565217391304E-2</v>
      </c>
    </row>
    <row r="476" spans="2:4" x14ac:dyDescent="0.35">
      <c r="B476" s="4" t="s">
        <v>98</v>
      </c>
      <c r="C476" s="3">
        <v>3</v>
      </c>
      <c r="D476" s="9">
        <f t="shared" si="8"/>
        <v>1.6304347826086956E-2</v>
      </c>
    </row>
    <row r="477" spans="2:4" x14ac:dyDescent="0.35">
      <c r="B477" s="4" t="s">
        <v>25</v>
      </c>
      <c r="C477" s="3">
        <v>7</v>
      </c>
      <c r="D477" s="9">
        <f t="shared" si="8"/>
        <v>3.8043478260869568E-2</v>
      </c>
    </row>
    <row r="478" spans="2:4" x14ac:dyDescent="0.35">
      <c r="B478" s="4" t="s">
        <v>51</v>
      </c>
      <c r="C478" s="3">
        <v>3</v>
      </c>
      <c r="D478" s="9">
        <f t="shared" si="8"/>
        <v>1.6304347826086956E-2</v>
      </c>
    </row>
    <row r="479" spans="2:4" x14ac:dyDescent="0.35">
      <c r="B479" s="4" t="s">
        <v>40</v>
      </c>
      <c r="C479" s="3">
        <v>5</v>
      </c>
      <c r="D479" s="9">
        <f t="shared" si="8"/>
        <v>2.717391304347826E-2</v>
      </c>
    </row>
    <row r="480" spans="2:4" x14ac:dyDescent="0.35">
      <c r="B480" s="4" t="s">
        <v>36</v>
      </c>
      <c r="C480" s="3">
        <v>1</v>
      </c>
      <c r="D480" s="9">
        <f t="shared" si="8"/>
        <v>5.434782608695652E-3</v>
      </c>
    </row>
    <row r="481" spans="2:4" x14ac:dyDescent="0.35">
      <c r="B481" s="4" t="s">
        <v>73</v>
      </c>
      <c r="C481" s="3">
        <v>4</v>
      </c>
      <c r="D481" s="9">
        <f t="shared" si="8"/>
        <v>2.1739130434782608E-2</v>
      </c>
    </row>
    <row r="482" spans="2:4" x14ac:dyDescent="0.35">
      <c r="B482" s="4" t="s">
        <v>118</v>
      </c>
      <c r="C482" s="3">
        <v>1</v>
      </c>
      <c r="D482" s="9">
        <f t="shared" si="8"/>
        <v>5.434782608695652E-3</v>
      </c>
    </row>
    <row r="483" spans="2:4" x14ac:dyDescent="0.35">
      <c r="B483" s="4" t="s">
        <v>44</v>
      </c>
      <c r="C483" s="3">
        <v>2</v>
      </c>
      <c r="D483" s="9">
        <f t="shared" si="8"/>
        <v>1.0869565217391304E-2</v>
      </c>
    </row>
    <row r="484" spans="2:4" x14ac:dyDescent="0.35">
      <c r="B484" s="4" t="s">
        <v>23</v>
      </c>
      <c r="C484" s="3">
        <v>1</v>
      </c>
      <c r="D484" s="9">
        <f t="shared" si="8"/>
        <v>5.434782608695652E-3</v>
      </c>
    </row>
    <row r="485" spans="2:4" x14ac:dyDescent="0.35">
      <c r="B485" s="4" t="s">
        <v>5</v>
      </c>
      <c r="C485" s="3">
        <v>2</v>
      </c>
      <c r="D485" s="9">
        <f t="shared" si="8"/>
        <v>1.0869565217391304E-2</v>
      </c>
    </row>
    <row r="486" spans="2:4" x14ac:dyDescent="0.35">
      <c r="B486" s="4" t="s">
        <v>42</v>
      </c>
      <c r="C486" s="3">
        <v>1</v>
      </c>
      <c r="D486" s="9">
        <f t="shared" si="8"/>
        <v>5.434782608695652E-3</v>
      </c>
    </row>
    <row r="487" spans="2:4" x14ac:dyDescent="0.35">
      <c r="B487" s="4" t="s">
        <v>43</v>
      </c>
      <c r="C487" s="3">
        <v>5</v>
      </c>
      <c r="D487" s="9">
        <f t="shared" si="8"/>
        <v>2.717391304347826E-2</v>
      </c>
    </row>
    <row r="488" spans="2:4" x14ac:dyDescent="0.35">
      <c r="B488" s="4" t="s">
        <v>83</v>
      </c>
      <c r="C488" s="3">
        <v>4</v>
      </c>
      <c r="D488" s="9">
        <f t="shared" si="8"/>
        <v>2.1739130434782608E-2</v>
      </c>
    </row>
    <row r="489" spans="2:4" x14ac:dyDescent="0.35">
      <c r="B489" s="4" t="s">
        <v>65</v>
      </c>
      <c r="C489" s="3">
        <v>3</v>
      </c>
      <c r="D489" s="9">
        <f t="shared" si="8"/>
        <v>1.6304347826086956E-2</v>
      </c>
    </row>
    <row r="490" spans="2:4" x14ac:dyDescent="0.35">
      <c r="B490" s="4" t="s">
        <v>95</v>
      </c>
      <c r="C490" s="3">
        <v>2</v>
      </c>
      <c r="D490" s="9">
        <f t="shared" si="8"/>
        <v>1.0869565217391304E-2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Branch-wise</vt:lpstr>
      <vt:lpstr>RM-Wise</vt:lpstr>
      <vt:lpstr>Interest_Rate-wise</vt:lpstr>
      <vt:lpstr>STM Wise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Arif Abdullah, Syed</dc:creator>
  <cp:lastModifiedBy>Miftahul Hoque Nobel, Kazi Md.</cp:lastModifiedBy>
  <dcterms:created xsi:type="dcterms:W3CDTF">2019-01-10T04:32:44Z</dcterms:created>
  <dcterms:modified xsi:type="dcterms:W3CDTF">2026-09-27T13:21:17Z</dcterms:modified>
</cp:coreProperties>
</file>