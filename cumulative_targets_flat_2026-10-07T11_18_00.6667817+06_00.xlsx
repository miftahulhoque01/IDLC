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OCAL REPORTS\Others\Ad hoc\"/>
    </mc:Choice>
  </mc:AlternateContent>
  <bookViews>
    <workbookView xWindow="0" yWindow="0" windowWidth="19200" windowHeight="7836"/>
  </bookViews>
  <sheets>
    <sheet name="Query result" sheetId="1" r:id="rId1"/>
    <sheet name="Sheet1" sheetId="2" r:id="rId2"/>
  </sheets>
  <definedNames>
    <definedName name="_xlnm._FilterDatabase" localSheetId="0" hidden="1">'Query result'!$A$1:$I$1</definedName>
  </definedNames>
  <calcPr calcId="162913"/>
</workbook>
</file>

<file path=xl/calcChain.xml><?xml version="1.0" encoding="utf-8"?>
<calcChain xmlns="http://schemas.openxmlformats.org/spreadsheetml/2006/main">
  <c r="G59" i="1" l="1"/>
  <c r="G60" i="1"/>
  <c r="G58" i="1"/>
  <c r="G55" i="1"/>
  <c r="G56" i="1"/>
  <c r="G54" i="1"/>
  <c r="G51" i="1"/>
  <c r="G52" i="1"/>
  <c r="G50" i="1"/>
  <c r="G47" i="1"/>
  <c r="G48" i="1"/>
  <c r="G46" i="1"/>
  <c r="G43" i="1"/>
  <c r="G44" i="1"/>
  <c r="G42" i="1"/>
  <c r="G39" i="1"/>
  <c r="G40" i="1"/>
  <c r="G38" i="1"/>
  <c r="G35" i="1"/>
  <c r="G36" i="1"/>
  <c r="G34" i="1"/>
  <c r="G31" i="1"/>
  <c r="G32" i="1"/>
  <c r="G30" i="1"/>
  <c r="G27" i="1"/>
  <c r="G28" i="1"/>
  <c r="G26" i="1"/>
  <c r="G23" i="1"/>
  <c r="G24" i="1"/>
  <c r="G22" i="1"/>
  <c r="G19" i="1"/>
  <c r="G20" i="1"/>
  <c r="G18" i="1"/>
  <c r="G15" i="1"/>
  <c r="G16" i="1"/>
  <c r="G14" i="1"/>
  <c r="G11" i="1"/>
  <c r="G12" i="1"/>
  <c r="G10" i="1"/>
  <c r="G7" i="1"/>
  <c r="G8" i="1"/>
  <c r="G6" i="1"/>
  <c r="G3" i="1"/>
  <c r="G4" i="1"/>
  <c r="G2" i="1"/>
</calcChain>
</file>

<file path=xl/sharedStrings.xml><?xml version="1.0" encoding="utf-8"?>
<sst xmlns="http://schemas.openxmlformats.org/spreadsheetml/2006/main" count="3273" uniqueCount="876">
  <si>
    <t>Branch</t>
  </si>
  <si>
    <t>Target</t>
  </si>
  <si>
    <t>1-Jul-26</t>
  </si>
  <si>
    <t>Agrabad</t>
  </si>
  <si>
    <t>45.06%</t>
  </si>
  <si>
    <t>1-Aug-26</t>
  </si>
  <si>
    <t>48.92%</t>
  </si>
  <si>
    <t>1-Sep-26</t>
  </si>
  <si>
    <t>77.26%</t>
  </si>
  <si>
    <t>Barisal</t>
  </si>
  <si>
    <t>80.17%</t>
  </si>
  <si>
    <t>47.47%</t>
  </si>
  <si>
    <t>54.37%</t>
  </si>
  <si>
    <t>Bhola (Barisal)</t>
  </si>
  <si>
    <t>26.31%</t>
  </si>
  <si>
    <t>54.62%</t>
  </si>
  <si>
    <t>67.47%</t>
  </si>
  <si>
    <t>Bhulta</t>
  </si>
  <si>
    <t>83.32%</t>
  </si>
  <si>
    <t>82.47%</t>
  </si>
  <si>
    <t>129.88%</t>
  </si>
  <si>
    <t>Bogra</t>
  </si>
  <si>
    <t>90.14%</t>
  </si>
  <si>
    <t>83.76%</t>
  </si>
  <si>
    <t>150.72%</t>
  </si>
  <si>
    <t>Brahmanbaria (Comilla)</t>
  </si>
  <si>
    <t>81.13%</t>
  </si>
  <si>
    <t>236.11%</t>
  </si>
  <si>
    <t>268.16%</t>
  </si>
  <si>
    <t>Chowmuhani</t>
  </si>
  <si>
    <t>93.74%</t>
  </si>
  <si>
    <t>83.24%</t>
  </si>
  <si>
    <t>88.67%</t>
  </si>
  <si>
    <t>Comilla</t>
  </si>
  <si>
    <t>94.00%</t>
  </si>
  <si>
    <t>82.42%</t>
  </si>
  <si>
    <t>85.59%</t>
  </si>
  <si>
    <t>Dilkusha</t>
  </si>
  <si>
    <t>104.10%</t>
  </si>
  <si>
    <t>106.37%</t>
  </si>
  <si>
    <t>132.87%</t>
  </si>
  <si>
    <t>Dinajpur</t>
  </si>
  <si>
    <t>58.64%</t>
  </si>
  <si>
    <t>83.85%</t>
  </si>
  <si>
    <t>66.64%</t>
  </si>
  <si>
    <t>Elephant Road</t>
  </si>
  <si>
    <t>79.55%</t>
  </si>
  <si>
    <t>86.12%</t>
  </si>
  <si>
    <t>60.71%</t>
  </si>
  <si>
    <t>Faridpur</t>
  </si>
  <si>
    <t>67.01%</t>
  </si>
  <si>
    <t>57.32%</t>
  </si>
  <si>
    <t>64.77%</t>
  </si>
  <si>
    <t>Feni (Chowmuhani)</t>
  </si>
  <si>
    <t>127.58%</t>
  </si>
  <si>
    <t>85.01%</t>
  </si>
  <si>
    <t>137.36%</t>
  </si>
  <si>
    <t>Gazipur</t>
  </si>
  <si>
    <t>37.66%</t>
  </si>
  <si>
    <t>54.39%</t>
  </si>
  <si>
    <t>53.15%</t>
  </si>
  <si>
    <t>Gulshan</t>
  </si>
  <si>
    <t>95.87%</t>
  </si>
  <si>
    <t>59.29%</t>
  </si>
  <si>
    <t>84.19%</t>
  </si>
  <si>
    <t>Hobiganj</t>
  </si>
  <si>
    <t>69.76%</t>
  </si>
  <si>
    <t>23.50%</t>
  </si>
  <si>
    <t>33.62%</t>
  </si>
  <si>
    <t>Imamganj</t>
  </si>
  <si>
    <t>130.08%</t>
  </si>
  <si>
    <t>98.30%</t>
  </si>
  <si>
    <t>94.03%</t>
  </si>
  <si>
    <t>Jessore</t>
  </si>
  <si>
    <t>74.40%</t>
  </si>
  <si>
    <t>50.33%</t>
  </si>
  <si>
    <t>69.60%</t>
  </si>
  <si>
    <t>Keranigonj</t>
  </si>
  <si>
    <t>64.81%</t>
  </si>
  <si>
    <t>91.52%</t>
  </si>
  <si>
    <t>82.21%</t>
  </si>
  <si>
    <t>Khulna</t>
  </si>
  <si>
    <t>74.56%</t>
  </si>
  <si>
    <t>113.28%</t>
  </si>
  <si>
    <t>74.03%</t>
  </si>
  <si>
    <t>Kushtia</t>
  </si>
  <si>
    <t>45.46%</t>
  </si>
  <si>
    <t>60.09%</t>
  </si>
  <si>
    <t>17.57%</t>
  </si>
  <si>
    <t>Mirpur</t>
  </si>
  <si>
    <t>132.41%</t>
  </si>
  <si>
    <t>139.50%</t>
  </si>
  <si>
    <t>94.29%</t>
  </si>
  <si>
    <t>Mymensingh</t>
  </si>
  <si>
    <t>79.77%</t>
  </si>
  <si>
    <t>75.10%</t>
  </si>
  <si>
    <t>94.55%</t>
  </si>
  <si>
    <t>Nandankanon</t>
  </si>
  <si>
    <t>26.29%</t>
  </si>
  <si>
    <t>41.35%</t>
  </si>
  <si>
    <t>45.65%</t>
  </si>
  <si>
    <t>Naogaon (Bogra)</t>
  </si>
  <si>
    <t>81.63%</t>
  </si>
  <si>
    <t>102.78%</t>
  </si>
  <si>
    <t>59.57%</t>
  </si>
  <si>
    <t>Narayangonj</t>
  </si>
  <si>
    <t>57.05%</t>
  </si>
  <si>
    <t>74.30%</t>
  </si>
  <si>
    <t>45.23%</t>
  </si>
  <si>
    <t>Narsingdi</t>
  </si>
  <si>
    <t>75.78%</t>
  </si>
  <si>
    <t>78.52%</t>
  </si>
  <si>
    <t>109.86%</t>
  </si>
  <si>
    <t>Natore</t>
  </si>
  <si>
    <t>82.03%</t>
  </si>
  <si>
    <t>110.23%</t>
  </si>
  <si>
    <t>82.09%</t>
  </si>
  <si>
    <t>Pabna (Natore)</t>
  </si>
  <si>
    <t>81.97%</t>
  </si>
  <si>
    <t>46.75%</t>
  </si>
  <si>
    <t>47.62%</t>
  </si>
  <si>
    <t>Rajshahi</t>
  </si>
  <si>
    <t>80.74%</t>
  </si>
  <si>
    <t>34.42%</t>
  </si>
  <si>
    <t>87.05%</t>
  </si>
  <si>
    <t>Rangpur</t>
  </si>
  <si>
    <t>55.69%</t>
  </si>
  <si>
    <t>46.41%</t>
  </si>
  <si>
    <t>75.37%</t>
  </si>
  <si>
    <t>Savar</t>
  </si>
  <si>
    <t>72.13%</t>
  </si>
  <si>
    <t>43.76%</t>
  </si>
  <si>
    <t>39.22%</t>
  </si>
  <si>
    <t>Shatkhira (Jessore)</t>
  </si>
  <si>
    <t>78.83%</t>
  </si>
  <si>
    <t>99.23%</t>
  </si>
  <si>
    <t>76.86%</t>
  </si>
  <si>
    <t>Sherpur (Mymensingh)</t>
  </si>
  <si>
    <t>44.48%</t>
  </si>
  <si>
    <t>107.73%</t>
  </si>
  <si>
    <t>104.02%</t>
  </si>
  <si>
    <t>Sylhet</t>
  </si>
  <si>
    <t>54.99%</t>
  </si>
  <si>
    <t>56.24%</t>
  </si>
  <si>
    <t>97.31%</t>
  </si>
  <si>
    <t>Tangail (Gazipur)</t>
  </si>
  <si>
    <t>28.13%</t>
  </si>
  <si>
    <t>149.70%</t>
  </si>
  <si>
    <t>44.68%</t>
  </si>
  <si>
    <t>Tongi</t>
  </si>
  <si>
    <t>100.46%</t>
  </si>
  <si>
    <t>100.98%</t>
  </si>
  <si>
    <t>77.85%</t>
  </si>
  <si>
    <t>Month</t>
  </si>
  <si>
    <t>Net Disbursement</t>
  </si>
  <si>
    <t>Achievement</t>
  </si>
  <si>
    <t>Cumulative Target</t>
  </si>
  <si>
    <t>Cumulative Net Disbursement</t>
  </si>
  <si>
    <t>Cumulative Achievement Percent</t>
  </si>
  <si>
    <t>ACCOUNT_NUMBER</t>
  </si>
  <si>
    <t>ALT_ACC_NO</t>
  </si>
  <si>
    <t>TERM</t>
  </si>
  <si>
    <t>TermInMonth</t>
  </si>
  <si>
    <t>SANCDATE1</t>
  </si>
  <si>
    <t>SanctionAmount</t>
  </si>
  <si>
    <t>DisbursementAmount</t>
  </si>
  <si>
    <t>Disbursement_Category</t>
  </si>
  <si>
    <t>PAYMENT_AMOUNT</t>
  </si>
  <si>
    <t>PaymentMode</t>
  </si>
  <si>
    <t>DisbursementDate</t>
  </si>
  <si>
    <t>LastDisbEntryDate</t>
  </si>
  <si>
    <t>EXPIRYDATE</t>
  </si>
  <si>
    <t>Facility</t>
  </si>
  <si>
    <t>BRANCH_NAME</t>
  </si>
  <si>
    <t>BRANCH_CODE_BB</t>
  </si>
  <si>
    <t>SUB_BRANCH</t>
  </si>
  <si>
    <t>PRODUCTCATEGORY</t>
  </si>
  <si>
    <t>Product_SUBCATEGORY</t>
  </si>
  <si>
    <t>PRODUCT_DESC</t>
  </si>
  <si>
    <t>PRODUCT_CODE</t>
  </si>
  <si>
    <t>BusinessSegment</t>
  </si>
  <si>
    <t>BusinessType</t>
  </si>
  <si>
    <t>SectorCode</t>
  </si>
  <si>
    <t>Sector</t>
  </si>
  <si>
    <t>SectorGroupShortCode</t>
  </si>
  <si>
    <t>SectorGroup</t>
  </si>
  <si>
    <t>Purpose</t>
  </si>
  <si>
    <t>BBSectorCode</t>
  </si>
  <si>
    <t>BBSector</t>
  </si>
  <si>
    <t>OrganizationType</t>
  </si>
  <si>
    <t>InstitutionType</t>
  </si>
  <si>
    <t>Custom_GroupName_UNIQUE</t>
  </si>
  <si>
    <t>Custom_GroupName</t>
  </si>
  <si>
    <t>GroupName_UNIQUE</t>
  </si>
  <si>
    <t>GroupName</t>
  </si>
  <si>
    <t>Classification</t>
  </si>
  <si>
    <t>ClassifyStatus</t>
  </si>
  <si>
    <t>INTEREST_RATE</t>
  </si>
  <si>
    <t>EFFECTIVERATE</t>
  </si>
  <si>
    <t>STAFF_LOAN</t>
  </si>
  <si>
    <t>NATURE_OF_ENTREPRENEURS</t>
  </si>
  <si>
    <t>CUSTOMER_CATEGORY</t>
  </si>
  <si>
    <t>CUSTOMER_TYPE</t>
  </si>
  <si>
    <t>LOANSTATUS</t>
  </si>
  <si>
    <t>ACCOUNT_STATUS</t>
  </si>
  <si>
    <t>AREA</t>
  </si>
  <si>
    <t>RMCode</t>
  </si>
  <si>
    <t>RMName</t>
  </si>
  <si>
    <t>No. of Male Employed</t>
  </si>
  <si>
    <t>No. of  Female Employed</t>
  </si>
  <si>
    <t>NmbrOfEmployee</t>
  </si>
  <si>
    <t>FixedAssetExclLand</t>
  </si>
  <si>
    <t>Customer_New/Existing</t>
  </si>
  <si>
    <t>IDLC_1ST_TIME_BORROWER</t>
  </si>
  <si>
    <t>BORROWER_1ST_TIME_IDLC_And_OTHERS</t>
  </si>
  <si>
    <t>FirstTimeBorrowerCurrentYear</t>
  </si>
  <si>
    <t>First_Time_Borrower_Date</t>
  </si>
  <si>
    <t>URPA</t>
  </si>
  <si>
    <t>AR_INT</t>
  </si>
  <si>
    <t>OutSTND (URPA+AR_INTEREST)</t>
  </si>
  <si>
    <t>FinancingType</t>
  </si>
  <si>
    <t>Sustainable_Finance</t>
  </si>
  <si>
    <t>SECTOR_CODE_NBFI_RETURNS123</t>
  </si>
  <si>
    <t>NBFI_RETURNS_DESC</t>
  </si>
  <si>
    <t>SME Type(IndustryScale)</t>
  </si>
  <si>
    <t>INDUSTRY_SCALE</t>
  </si>
  <si>
    <t>SME_NON_SME_CODE</t>
  </si>
  <si>
    <t>EconomicPurposesCode</t>
  </si>
  <si>
    <t>MajorCategory</t>
  </si>
  <si>
    <t>EconomicPurposesSub1</t>
  </si>
  <si>
    <t>EconomicPurposesSub2</t>
  </si>
  <si>
    <t>EconomicPurposes</t>
  </si>
  <si>
    <t>Security/CollateralCode</t>
  </si>
  <si>
    <t>Security/Collateral name</t>
  </si>
  <si>
    <t>NBDC_Sector</t>
  </si>
  <si>
    <t>NBDC_Sector_Code</t>
  </si>
  <si>
    <t>EconomicPurpose_NBDC</t>
  </si>
  <si>
    <t>EconomicPurposeCode_NBDC</t>
  </si>
  <si>
    <t>OperationalUnitID</t>
  </si>
  <si>
    <t>GenderDesc</t>
  </si>
  <si>
    <t>GenderCode</t>
  </si>
  <si>
    <t>OwnershipStatus</t>
  </si>
  <si>
    <t>Product_Group_DFIM</t>
  </si>
  <si>
    <t>PRODUCT_TYPE_ID_DFIM</t>
  </si>
  <si>
    <t>PRODUCT_TYPE_DFIM</t>
  </si>
  <si>
    <t>Product_Category_Aging_DFIM</t>
  </si>
  <si>
    <t>TenorWiseLending</t>
  </si>
  <si>
    <t>Product_Details_DFIM</t>
  </si>
  <si>
    <t>Product_Details_ID_DFIM</t>
  </si>
  <si>
    <t>LOAN_CLASS_ID</t>
  </si>
  <si>
    <t>New Enterprises</t>
  </si>
  <si>
    <t>NBFI_Sub_SECTOR1</t>
  </si>
  <si>
    <t>NBFI_Sub_SECTOR2</t>
  </si>
  <si>
    <t>NBFI_SECTOR</t>
  </si>
  <si>
    <t>Classification_of_Sectors</t>
  </si>
  <si>
    <t>RefinancingScheme_Category</t>
  </si>
  <si>
    <t>RefinancingInstitute</t>
  </si>
  <si>
    <t>RefinancingType</t>
  </si>
  <si>
    <t>RefinancedFrom</t>
  </si>
  <si>
    <t>AmountPayableToCustomer_OCAS</t>
  </si>
  <si>
    <t>FirstAmountPayableToCustomer_OCAS</t>
  </si>
  <si>
    <t>LastAmountPayableToCustomer_OCAS</t>
  </si>
  <si>
    <t>Type of Loan</t>
  </si>
  <si>
    <t>Nature of Loan</t>
  </si>
  <si>
    <t>Size of Industry</t>
  </si>
  <si>
    <t>ClusterDivision</t>
  </si>
  <si>
    <t>ClusterRegion</t>
  </si>
  <si>
    <t>ClusterUpazilla</t>
  </si>
  <si>
    <t>BBCluster</t>
  </si>
  <si>
    <t>Clusters_Category</t>
  </si>
  <si>
    <t>Clusters Product/Service</t>
  </si>
  <si>
    <t>Area/Union/Road/Village</t>
  </si>
  <si>
    <t>ContractID</t>
  </si>
  <si>
    <t>BOOK_DATE</t>
  </si>
  <si>
    <t>Campaign</t>
  </si>
  <si>
    <t>BAddress</t>
  </si>
  <si>
    <t>Telephone</t>
  </si>
  <si>
    <t>Mobile_Number</t>
  </si>
  <si>
    <t>BranchCity</t>
  </si>
  <si>
    <t>BranchCity_Division</t>
  </si>
  <si>
    <t>APPLICATION_NUM</t>
  </si>
  <si>
    <t>TakeOverLoan</t>
  </si>
  <si>
    <t>CIB_STATUS_TAKE_OVER_ACC</t>
  </si>
  <si>
    <t>TakeOverFromOrganization</t>
  </si>
  <si>
    <t>DATE_OF_BIRTH</t>
  </si>
  <si>
    <t>AGE_OF_CUSTOMER</t>
  </si>
  <si>
    <t>ROW_NUMBER_CUSTOMER_NO</t>
  </si>
  <si>
    <t>ROW_NUMBER_GROUP_NAME</t>
  </si>
  <si>
    <t>ROW_NUMBER_CUSTOM_GROUPNAME</t>
  </si>
  <si>
    <t>DFIM_SECTOR</t>
  </si>
  <si>
    <t>DFIM_SUB_SECTOR</t>
  </si>
  <si>
    <t>PROCESSING_FEE_REPORTING_PERIOD</t>
  </si>
  <si>
    <t>Financing_Products</t>
  </si>
  <si>
    <t>Has_CoApplicant</t>
  </si>
  <si>
    <t>Joint_account_Mixed</t>
  </si>
  <si>
    <t>Ldeposit</t>
  </si>
  <si>
    <t>CASH_SECURITY</t>
  </si>
  <si>
    <t>SECURITY_DEPOSIT_NON_INT</t>
  </si>
  <si>
    <t>SecurityDeposit</t>
  </si>
  <si>
    <t>TermDeposit_Lien</t>
  </si>
  <si>
    <t>SEC_ACCOUNT_NUMBER</t>
  </si>
  <si>
    <t>SHARE_LIEN</t>
  </si>
  <si>
    <t>REGISTERED_MORTGAGE</t>
  </si>
  <si>
    <t>REGISTERED_MORTGAGE_BLA</t>
  </si>
  <si>
    <t>RM_THIRD_PARTY</t>
  </si>
  <si>
    <t>PARIPASSU_MORTGAGE</t>
  </si>
  <si>
    <t>FDR_LIEN</t>
  </si>
  <si>
    <t>LIEN_ON_TBR_THIRD_PARTY</t>
  </si>
  <si>
    <t>Deposit_Type</t>
  </si>
  <si>
    <t>Value of Eligible Security</t>
  </si>
  <si>
    <t>IRG Grade</t>
  </si>
  <si>
    <t>Project Category</t>
  </si>
  <si>
    <t>EnvRR</t>
  </si>
  <si>
    <t>ADV_INSURANCE_CREDIT</t>
  </si>
  <si>
    <t>ADV_INSURANCE_BALANCE</t>
  </si>
  <si>
    <t>NET-OFF DUE</t>
  </si>
  <si>
    <t>NET-OFF DUE MANUAL ADJ</t>
  </si>
  <si>
    <t>Netting_Amount_Tags</t>
  </si>
  <si>
    <t>Netting_Amount_Tags_Manual</t>
  </si>
  <si>
    <t>ALL_Owners_Name</t>
  </si>
  <si>
    <t>FROM_REPORT_DATE</t>
  </si>
  <si>
    <t>TO_REPORT_DATE</t>
  </si>
  <si>
    <t>7771710000026</t>
  </si>
  <si>
    <t>1297721400023184</t>
  </si>
  <si>
    <t>Fresh disbursement</t>
  </si>
  <si>
    <t>1057721430566303</t>
  </si>
  <si>
    <t>1317721499483132</t>
  </si>
  <si>
    <t>1057723536068073</t>
  </si>
  <si>
    <t>Top up</t>
  </si>
  <si>
    <t>1187731564489033</t>
  </si>
  <si>
    <t>1127721565600297</t>
  </si>
  <si>
    <t>1157721579240404</t>
  </si>
  <si>
    <t>1107721593614490</t>
  </si>
  <si>
    <t>1287711613439106</t>
  </si>
  <si>
    <t>1057727649587017</t>
  </si>
  <si>
    <t>1127726665395077</t>
  </si>
  <si>
    <t>1127721671878296</t>
  </si>
  <si>
    <t>1277721687922600</t>
  </si>
  <si>
    <t>1067711691021986</t>
  </si>
  <si>
    <t>1127726695823078</t>
  </si>
  <si>
    <t>1227711699709625</t>
  </si>
  <si>
    <t>1097731701780066</t>
  </si>
  <si>
    <t>1127731707897027</t>
  </si>
  <si>
    <t>1057721716313304</t>
  </si>
  <si>
    <t>1257721725076198</t>
  </si>
  <si>
    <t>1127761735563002</t>
  </si>
  <si>
    <t>1277726740252005</t>
  </si>
  <si>
    <t>1057718771621124</t>
  </si>
  <si>
    <t>1097711775625793</t>
  </si>
  <si>
    <t>1197718776163026</t>
  </si>
  <si>
    <t>1177711777845238</t>
  </si>
  <si>
    <t>1197723778464067</t>
  </si>
  <si>
    <t>1067721779030251</t>
  </si>
  <si>
    <t>1317711779777663</t>
  </si>
  <si>
    <t>1067711781438985</t>
  </si>
  <si>
    <t>1107721781969491</t>
  </si>
  <si>
    <t>1067721782020252</t>
  </si>
  <si>
    <t>1027721782781126</t>
  </si>
  <si>
    <t>1027721782819126</t>
  </si>
  <si>
    <t>1037721783034252</t>
  </si>
  <si>
    <t>Partial (…..no. phase)</t>
  </si>
  <si>
    <t>1147721783431157</t>
  </si>
  <si>
    <t>1187721783572347</t>
  </si>
  <si>
    <t>Cheque</t>
  </si>
  <si>
    <t>Non Lease-Islamic</t>
  </si>
  <si>
    <t>0115</t>
  </si>
  <si>
    <t>SME</t>
  </si>
  <si>
    <t>SEF</t>
  </si>
  <si>
    <t>Raw Material Financing Under Murabahah (SME - Less than 3 years)</t>
  </si>
  <si>
    <t>171</t>
  </si>
  <si>
    <t>LARGE</t>
  </si>
  <si>
    <t>Trading</t>
  </si>
  <si>
    <t>Food &amp; Beverage</t>
  </si>
  <si>
    <t>Store &amp; Trader</t>
  </si>
  <si>
    <t>Retailer</t>
  </si>
  <si>
    <t>Private Ltd. Co.</t>
  </si>
  <si>
    <t>Khaas Food Limited11003563</t>
  </si>
  <si>
    <t>UNCLASSIFIED-STANDARD</t>
  </si>
  <si>
    <t>CORPORATE</t>
  </si>
  <si>
    <t>STD</t>
  </si>
  <si>
    <t>ACTIVE</t>
  </si>
  <si>
    <t>Urban</t>
  </si>
  <si>
    <t>607274</t>
  </si>
  <si>
    <t>Md. Al Amin</t>
  </si>
  <si>
    <t>New Client</t>
  </si>
  <si>
    <t>1ST TIME BORROWER</t>
  </si>
  <si>
    <t>YES</t>
  </si>
  <si>
    <t>Retail Traders</t>
  </si>
  <si>
    <t>NON-SME-OTHERS-OTHERS</t>
  </si>
  <si>
    <t>Trade &amp; Commerce</t>
  </si>
  <si>
    <t>Retail Trading</t>
  </si>
  <si>
    <t>Financial obligations only (Insurance Policies, Savings Certificates, FDR, TDR, DPS, MBS, DBS, TBS etc.)</t>
  </si>
  <si>
    <t>Other non financial corporation</t>
  </si>
  <si>
    <t>Others</t>
  </si>
  <si>
    <t>MALE</t>
  </si>
  <si>
    <t>Term Finance</t>
  </si>
  <si>
    <t>Term Finance (CL-4A)</t>
  </si>
  <si>
    <t>More than 1 year but within 5 years</t>
  </si>
  <si>
    <t>Medium Term Loan</t>
  </si>
  <si>
    <t>Other than CMSMEF &amp; Consumer Finance</t>
  </si>
  <si>
    <t>New</t>
  </si>
  <si>
    <t>Commerce &amp; Trade (excluding individual businessmen)</t>
  </si>
  <si>
    <t>NON-FINANCIAL CORPORATIONS</t>
  </si>
  <si>
    <t>PRIVATE SECTOR (Occupations/Activities)</t>
  </si>
  <si>
    <t>Others Loan</t>
  </si>
  <si>
    <t>Term loan</t>
  </si>
  <si>
    <t>Biswas Shopnil, 15/1-15/2, Dhanmondi, Zigatola,DHAKA,</t>
  </si>
  <si>
    <t>01708183871</t>
  </si>
  <si>
    <t xml:space="preserve">Dhaka                    </t>
  </si>
  <si>
    <t>Dhaka</t>
  </si>
  <si>
    <t>Loan</t>
  </si>
  <si>
    <t>0401</t>
  </si>
  <si>
    <t>SE LOAN PARTIALLY SECURED</t>
  </si>
  <si>
    <t>7721</t>
  </si>
  <si>
    <t>SMALL</t>
  </si>
  <si>
    <t>Manufacturing</t>
  </si>
  <si>
    <t>Bakery Items</t>
  </si>
  <si>
    <t>FB</t>
  </si>
  <si>
    <t>Machinery &amp; Equipment</t>
  </si>
  <si>
    <t>Food Production and Processing Industry</t>
  </si>
  <si>
    <t>Bakery with capital above BDT 500,000</t>
  </si>
  <si>
    <t>Proprietorship</t>
  </si>
  <si>
    <t>Al-Amin Bekary400023</t>
  </si>
  <si>
    <t>NORM</t>
  </si>
  <si>
    <t>351821</t>
  </si>
  <si>
    <t>Imran Hossain</t>
  </si>
  <si>
    <t>Existing Client</t>
  </si>
  <si>
    <t>NO</t>
  </si>
  <si>
    <t>Processing of bread and biscuits, vermicelli, laccha, chanachur,  noodles etc.</t>
  </si>
  <si>
    <t>SME LOANS</t>
  </si>
  <si>
    <t>SME-SMALL-MANUFACTURING CONCERN</t>
  </si>
  <si>
    <t>Industry</t>
  </si>
  <si>
    <t>Term Loan</t>
  </si>
  <si>
    <t>Commodities Pledged /Hypothecated.</t>
  </si>
  <si>
    <t>Majority Male Owned Enterprise</t>
  </si>
  <si>
    <t>Informal/Marginal Sector, Cottage, Micro, Small &amp; Medium Enterprise Financing (CMSMEF)</t>
  </si>
  <si>
    <t>Agro-based and agro-processing industry</t>
  </si>
  <si>
    <t>Industries</t>
  </si>
  <si>
    <t>Refinancing Scheme for the CMSME Sector (Tk 18,000 crore scheme)</t>
  </si>
  <si>
    <t>Industrial Loan</t>
  </si>
  <si>
    <t>Small-Scale Industry</t>
  </si>
  <si>
    <t>N/A</t>
  </si>
  <si>
    <t>Plot No : C/41, BSCIC Road, Kawnia,Sadar,Barishal,Bangladesh</t>
  </si>
  <si>
    <t>01919984078</t>
  </si>
  <si>
    <t xml:space="preserve">Barisal                  </t>
  </si>
  <si>
    <t>Barishal</t>
  </si>
  <si>
    <t>Food Production, Processing &amp; Rice Mills</t>
  </si>
  <si>
    <t>Yellow</t>
  </si>
  <si>
    <t>Low</t>
  </si>
  <si>
    <t>ADV_INS_LIQD=15939,CIB_PRO_FEE_LIQD=30,DOC_FEE_LIQD=4300,PROC_FEE_LIQD=52500,VAT_CIB_PRO_LIQD=4.5,VAT_PRO_FEE_LIQD=7875</t>
  </si>
  <si>
    <t>Badsha Dhali</t>
  </si>
  <si>
    <t>0104</t>
  </si>
  <si>
    <t>Workshop</t>
  </si>
  <si>
    <t>IS</t>
  </si>
  <si>
    <t>Iron, Steel &amp; Engineering</t>
  </si>
  <si>
    <t>Iron, Steel and Engineering</t>
  </si>
  <si>
    <t>Manufacturing company with capital above BDT 1,000,000</t>
  </si>
  <si>
    <t>Taher Engineering Works430566</t>
  </si>
  <si>
    <t>607294</t>
  </si>
  <si>
    <t>Md. Mubarak</t>
  </si>
  <si>
    <t>Light Engineering and Metal-workshop</t>
  </si>
  <si>
    <t>Service Industries</t>
  </si>
  <si>
    <t>FSFDMSME Refinancing Scheme</t>
  </si>
  <si>
    <t>Holding Number: 28, Hazipara, North Badda, Gulshan,Badda,Dhaka,Bangladesh</t>
  </si>
  <si>
    <t>01716260013</t>
  </si>
  <si>
    <t>Green</t>
  </si>
  <si>
    <t>ADV_INS_LIQD=12978.9,CIB_PRO_FEE_LIQD=20,DOC_FEE_LIQD=4600,PROC_FEE_LIQD=60000,VAT_CIB_PRO_LIQD=3,VAT_PRO_FEE_LIQD=9000</t>
  </si>
  <si>
    <t>Abu Taher</t>
  </si>
  <si>
    <t>RTGS</t>
  </si>
  <si>
    <t>0116</t>
  </si>
  <si>
    <t>Rice Mill &amp; Rice based products</t>
  </si>
  <si>
    <t>Working Capital</t>
  </si>
  <si>
    <t>Rice mill</t>
  </si>
  <si>
    <t>Janani Auto Rice Mill499483</t>
  </si>
  <si>
    <t>Rural</t>
  </si>
  <si>
    <t>515398</t>
  </si>
  <si>
    <t>Akram Hossain</t>
  </si>
  <si>
    <t>Rice mills including puffed rice, chirra, fine rice, flavoured rice etc.</t>
  </si>
  <si>
    <t>Short Term Loan</t>
  </si>
  <si>
    <t>Short Term Finance (CL-2)</t>
  </si>
  <si>
    <t>Up to One Year</t>
  </si>
  <si>
    <t>Agro Refinancing Scheme</t>
  </si>
  <si>
    <t>Madaripur</t>
  </si>
  <si>
    <t>Road: Tatikanda, Nagardu,PS: Rajoir,Madaripur,Bangladesh</t>
  </si>
  <si>
    <t>01716226109</t>
  </si>
  <si>
    <t xml:space="preserve">Faridpur                 </t>
  </si>
  <si>
    <t>Orange</t>
  </si>
  <si>
    <t>Not Applicable</t>
  </si>
  <si>
    <t>ADV_INS_LIQD=4743.75,CIB_PRO_FEE_LIQD=110,DOC_FEE_LIQD=4300,PROC_FEE_LIQD=11250,VAT_CIB_PRO_LIQD=16.5,VAT_PRO_FEE_LIQD=1687.5</t>
  </si>
  <si>
    <t>Helal Maubber</t>
  </si>
  <si>
    <t>SE WEL PARTIALLY SECURED</t>
  </si>
  <si>
    <t>7723</t>
  </si>
  <si>
    <t>MEDIUM</t>
  </si>
  <si>
    <t>Woven Apparels</t>
  </si>
  <si>
    <t>AA</t>
  </si>
  <si>
    <t>Apparels &amp; Accessories</t>
  </si>
  <si>
    <t>Scale-up</t>
  </si>
  <si>
    <t>Trade and Commerce</t>
  </si>
  <si>
    <t>B2536068</t>
  </si>
  <si>
    <t>Female</t>
  </si>
  <si>
    <t>616337</t>
  </si>
  <si>
    <t>Rashel Miah</t>
  </si>
  <si>
    <t>SME-MEDIUM-TRADING CONCERN</t>
  </si>
  <si>
    <t>Internal trade financing</t>
  </si>
  <si>
    <t>FEMALE</t>
  </si>
  <si>
    <t>Majority Female Owned Enterprise</t>
  </si>
  <si>
    <t>Plot: 62, Road No: 130, Gulshan South Avenue C/A,PS: Gulshan,Dhaka,Bangladesh</t>
  </si>
  <si>
    <t>01915697900</t>
  </si>
  <si>
    <t>ADV_INS_LIQD=20493,CIB_PRO_FEE_LIQD=100,CRATING_FEE_LIQD=5000,DOC_FEE_LIQD=4000,PROC_FEE_LIQD=81000,VAT_CIB_PRO_LIQD=15,VAT_PRO_FEE_LIQD=12150</t>
  </si>
  <si>
    <t>Sumsrita Poddar Bithe</t>
  </si>
  <si>
    <t>0114</t>
  </si>
  <si>
    <t>SE LOAN SECURED</t>
  </si>
  <si>
    <t>7731</t>
  </si>
  <si>
    <t>Accessories</t>
  </si>
  <si>
    <t>Industries associated with Apparel &amp; Textile</t>
  </si>
  <si>
    <t>Machinery</t>
  </si>
  <si>
    <t>Manufacturing company</t>
  </si>
  <si>
    <t>Tasfiya Rotor Mills Limited564489</t>
  </si>
  <si>
    <t>281814</t>
  </si>
  <si>
    <t>Mafujur Rahman</t>
  </si>
  <si>
    <t>Spinning Mills</t>
  </si>
  <si>
    <t>Long Term Loan</t>
  </si>
  <si>
    <t xml:space="preserve"> Manufactures/Manufacturing Companies</t>
  </si>
  <si>
    <t>SMEDP-2 Refinancing Scheme</t>
  </si>
  <si>
    <t>Road: Kharuali, Ward: 2,PS: Bhaluka,Mymensingh,Bangladesh</t>
  </si>
  <si>
    <t>01911378816</t>
  </si>
  <si>
    <t>Textiles</t>
  </si>
  <si>
    <t>Orange B</t>
  </si>
  <si>
    <t>ADV_INS_LIQD=43386.75,CRATING_FEE_LIQD=5750,DOC_FEE_LIQD=9500,PROC_FEE_LIQD=37500,RJSC_FEE_LIQD=7520,VAT_PRO_FEE_LIQD=5625</t>
  </si>
  <si>
    <t>Afsana Akter Anni,Farid Mia</t>
  </si>
  <si>
    <t>0110</t>
  </si>
  <si>
    <t>Paper Based Packaging</t>
  </si>
  <si>
    <t>PCK</t>
  </si>
  <si>
    <t>Packaging</t>
  </si>
  <si>
    <t>Soulmate Packaging &amp; Accessories Ltd.565600</t>
  </si>
  <si>
    <t>232748</t>
  </si>
  <si>
    <t>Lablur Rahman</t>
  </si>
  <si>
    <t>Paper and Paper Products Manufacturing Industries</t>
  </si>
  <si>
    <t>SME-MEDIUM-MANUFACTURING CONCERN</t>
  </si>
  <si>
    <t>Medium-Scale Industry</t>
  </si>
  <si>
    <t>Narayanganj</t>
  </si>
  <si>
    <t>Road: 115, Roghunathpur,PS: Fatullah,Narayanganj,Bangladesh</t>
  </si>
  <si>
    <t>01850075911</t>
  </si>
  <si>
    <t xml:space="preserve">Narayanganj              </t>
  </si>
  <si>
    <t>Orange A</t>
  </si>
  <si>
    <t>ADV_INS_LIQD=34439.63,CIB_PRO_FEE_LIQD=140,CRATING_FEE_LIQD=5750,DOC_FEE_LIQD=4300,PROC_FEE_LIQD=112500,RJSC_FEE_LIQD=7520,VAT_CIB_PRO_LIQD=21,VAT_PRO_FEE_LIQD=16875</t>
  </si>
  <si>
    <t>Farid Ahammad,Humaun Kabir,Jahangir Alom,Mohiuddin</t>
  </si>
  <si>
    <t>0002</t>
  </si>
  <si>
    <t>Wholesaler</t>
  </si>
  <si>
    <t>Messers Md Din Islam579240</t>
  </si>
  <si>
    <t>420791</t>
  </si>
  <si>
    <t>Syed Azharul Isam</t>
  </si>
  <si>
    <t>Whole Sale Traders</t>
  </si>
  <si>
    <t>Wholesale Trading</t>
  </si>
  <si>
    <t>Brahmanbaria</t>
  </si>
  <si>
    <t>Ashuganj Moddho Bazar,Ashuganj,Brahmanbaria,Bangladesh</t>
  </si>
  <si>
    <t>01779061615</t>
  </si>
  <si>
    <t xml:space="preserve">Comilla                  </t>
  </si>
  <si>
    <t>Chattogram</t>
  </si>
  <si>
    <t>11550557924001</t>
  </si>
  <si>
    <t>Security Deposit, Loan SMALL</t>
  </si>
  <si>
    <t>ADV_ED_1Y_LIQD=5000,ADV_INS_LIQD=15092,CIB_PRO_FEE_LIQD=30,DOC_FEE_LIQD=3400,PROC_FEE_LIQD=35000,VAT_CIB_PRO_LIQD=4.5,VAT_PRO_FEE_LIQD=5250</t>
  </si>
  <si>
    <t>Din Islam</t>
  </si>
  <si>
    <t>0107</t>
  </si>
  <si>
    <t>Industrial Equipment</t>
  </si>
  <si>
    <t>Equipment</t>
  </si>
  <si>
    <t>R.S International593614</t>
  </si>
  <si>
    <t>424575</t>
  </si>
  <si>
    <t>MD. Liton Hossain</t>
  </si>
  <si>
    <t>SME-SMALL-TRADING CONCERN</t>
  </si>
  <si>
    <t>CMSME Working Capital Refinance Fund</t>
  </si>
  <si>
    <t>Holding Number: 26, Modonpal Lane,PS: Wari,Dhaka,Bangladesh</t>
  </si>
  <si>
    <t>01749293264</t>
  </si>
  <si>
    <t>ADV_INS_LIQD=9487.5,CIB_PRO_FEE_LIQD=110,DOC_FEE_LIQD=4300,PROC_FEE_LIQD=22500,VAT_CIB_PRO_LIQD=16.5,VAT_PRO_FEE_LIQD=3375</t>
  </si>
  <si>
    <t>Iqbal Hossain</t>
  </si>
  <si>
    <t>0004</t>
  </si>
  <si>
    <t>SE LOAN UNSECURED</t>
  </si>
  <si>
    <t>7711</t>
  </si>
  <si>
    <t>Fabric &amp; Apparel</t>
  </si>
  <si>
    <t>Nur Zahan Garments613439</t>
  </si>
  <si>
    <t>560956</t>
  </si>
  <si>
    <t>Md Rashed Uddin</t>
  </si>
  <si>
    <t>Buiyharhat, Char Mazid, Char Bata,PS: Subarnachar,Noakhali,Bangladesh</t>
  </si>
  <si>
    <t>01828583898</t>
  </si>
  <si>
    <t xml:space="preserve">Noakhali                 </t>
  </si>
  <si>
    <t>ADV_ED_1Y_LIQD=3000,ADV_INS_LIQD=6325,CIB_PRO_FEE_LIQD=10,DOC_FEE_LIQD=3400,LD_LIQD=125703,PROC_FEE_LIQD=20000,VAT_CIB_PRO_LIQD=1.5,VAT_PRO_FEE_LIQD=3000</t>
  </si>
  <si>
    <t>Khokon</t>
  </si>
  <si>
    <t>SE STRUCTURED LOAN PARTIAL SECURED</t>
  </si>
  <si>
    <t>7727</t>
  </si>
  <si>
    <t>Sultana Fashion-1649587</t>
  </si>
  <si>
    <t>610424</t>
  </si>
  <si>
    <t>Md. Sayful Islam</t>
  </si>
  <si>
    <t>Ga - 2, Suvastu Nazar Valley, Shop: 2/146 (2nd Floor), Shahjadpur,PS: Gulshan,Dhaka,Bangladesh</t>
  </si>
  <si>
    <t>01933953058</t>
  </si>
  <si>
    <t>10550564958701</t>
  </si>
  <si>
    <t>ADV_ED_1Y_LIQD=5000,ADV_INS_LIQD=18975,CIB_PRO_FEE_LIQD=110,DOC_FEE_LIQD=3700,PROC_FEE_LIQD=50000,VAT_CIB_PRO_LIQD=16.5,VAT_PRO_FEE_LIQD=7500</t>
  </si>
  <si>
    <t>Abdur Rob Munsi</t>
  </si>
  <si>
    <t>SE SEASONAL LOAN PARTIALLY SECURED</t>
  </si>
  <si>
    <t>7726</t>
  </si>
  <si>
    <t>New Star Fabrics665395</t>
  </si>
  <si>
    <t>605516</t>
  </si>
  <si>
    <t>S.M Shamim Hossain</t>
  </si>
  <si>
    <t>Road: 131, Siddik Bazar, Jesmine, 004, Rose Merinas Market,PS: Bangshal,Dhaka,Bangladesh</t>
  </si>
  <si>
    <t>01732264954</t>
  </si>
  <si>
    <t>ADV_INS_LIQD=17077.5,CIB_PRO_FEE_LIQD=100,DOC_FEE_LIQD=3700,PROC_FEE_LIQD=90000,VAT_CIB_PRO_LIQD=15,VAT_PRO_FEE_LIQD=13500</t>
  </si>
  <si>
    <t>Golaf Hossen</t>
  </si>
  <si>
    <t>Partnership</t>
  </si>
  <si>
    <t>Unique Interlining671878</t>
  </si>
  <si>
    <t>Garments Accessories manufacturing industries (Zipper, Button etc)</t>
  </si>
  <si>
    <t>NON-SME LOANS</t>
  </si>
  <si>
    <t>Working Capital Financing</t>
  </si>
  <si>
    <t>Probaho-1 (Partial Secured)</t>
  </si>
  <si>
    <t>Munshiganj</t>
  </si>
  <si>
    <t>Road: Mohi Mondol Market, Medical Road,PS: Tongi Bari,Munshiganj,Bangladesh</t>
  </si>
  <si>
    <t>01670491272</t>
  </si>
  <si>
    <t>Garments &amp; Knitwear</t>
  </si>
  <si>
    <t>ADV_ED_1Y_LIQD=500,ADV_INS_LIQD=2213.75,CIB_PRO_FEE_LIQD=50,DOC_FEE_LIQD=4900,PROC_FEE_LIQD=5250,VAT_CIB_PRO_LIQD=7.5,VAT_PRO_FEE_LIQD=787.5</t>
  </si>
  <si>
    <t>Mizanur Rahaman,Mostafizur Rahman</t>
  </si>
  <si>
    <t>Ceramic Tiles &amp; Marbles</t>
  </si>
  <si>
    <t>BGC</t>
  </si>
  <si>
    <t>Building &amp; Construction Materials</t>
  </si>
  <si>
    <t>Century Ceramic687922</t>
  </si>
  <si>
    <t>511847</t>
  </si>
  <si>
    <t>Kamrul Hasan</t>
  </si>
  <si>
    <t>OTHER NON-SME LOANS</t>
  </si>
  <si>
    <t>44, Bir Uttam C R Datta Road, Hatirpool,PS: New market,Dhaka,Bangladesh</t>
  </si>
  <si>
    <t>01777338222</t>
  </si>
  <si>
    <t>12750568792201</t>
  </si>
  <si>
    <t>ADV_INS_LIQD=22836,CIB_PRO_FEE_LIQD=20,CRATING_FEE_LIQD=5750,DOC_FEE_LIQD=4000,PROC_FEE_LIQD=90000,VAT_CIB_PRO_LIQD=3,VAT_PRO_FEE_LIQD=13500</t>
  </si>
  <si>
    <t>Noman Uddin</t>
  </si>
  <si>
    <t>0301</t>
  </si>
  <si>
    <t>MICRO</t>
  </si>
  <si>
    <t>Ritu Traders691021</t>
  </si>
  <si>
    <t>595046</t>
  </si>
  <si>
    <t>Hasanul Banna</t>
  </si>
  <si>
    <t>INFORMAL/MARGINAL SECTOR-MANUFACTURING CONCERN</t>
  </si>
  <si>
    <t>Micro-Scale Industry</t>
  </si>
  <si>
    <t>Agri and Agro-Processed Products</t>
  </si>
  <si>
    <t>Rice</t>
  </si>
  <si>
    <t>Meruba Bot tola, Sherpur, Bogra</t>
  </si>
  <si>
    <t>Modonpur,PS: Sherpur,Bogura,Bangladesh</t>
  </si>
  <si>
    <t>01711427634</t>
  </si>
  <si>
    <t xml:space="preserve">Bogra                    </t>
  </si>
  <si>
    <t>ADV_ED_1Y_LIQD=3000,ADV_INS_LIQD=11290.13,CIB_PRO_FEE_LIQD=20,DOC_FEE_LIQD=3700,LD_LIQD=244792,PROC_FEE_LIQD=50000,VAT_CIB_PRO_LIQD=3,VAT_PRO_FEE_LIQD=7500</t>
  </si>
  <si>
    <t>Kawsar Ali</t>
  </si>
  <si>
    <t>Max Fashion695823</t>
  </si>
  <si>
    <t>1 No Shantidhara Road, Signboard,PS: Siddhirganj,Narayanganj,Bangladesh</t>
  </si>
  <si>
    <t>01708878687</t>
  </si>
  <si>
    <t>ADV_INS_LIQD=6957.5,CIB_PRO_FEE_LIQD=20,DOC_FEE_LIQD=3700,PROC_FEE_LIQD=22000,VAT_CIB_PRO_LIQD=3,VAT_PRO_FEE_LIQD=3300</t>
  </si>
  <si>
    <t>Aminul Islam</t>
  </si>
  <si>
    <t>0302</t>
  </si>
  <si>
    <t>Service</t>
  </si>
  <si>
    <t>Beauty Parlours/ Saloons/ Health Club/Fitness centre</t>
  </si>
  <si>
    <t>HS</t>
  </si>
  <si>
    <t>Healthcare, Beautycare &amp; Fitness</t>
  </si>
  <si>
    <t>Beauty Parlours/ Salon/ Spa</t>
  </si>
  <si>
    <t>Parik Makher699709</t>
  </si>
  <si>
    <t>278252</t>
  </si>
  <si>
    <t>Mahabur Rahman</t>
  </si>
  <si>
    <t>SME-SMALL-SERVICE CONCERN</t>
  </si>
  <si>
    <t>Pabna</t>
  </si>
  <si>
    <t>Chor Sahapur, I.K. Road, Natun Hat,PS: Ishwardi,Pabna,Bangladesh</t>
  </si>
  <si>
    <t>01794222929</t>
  </si>
  <si>
    <t xml:space="preserve">Natore                   </t>
  </si>
  <si>
    <t>Beautification &amp; Gym</t>
  </si>
  <si>
    <t>ADV_ED_1Y_LIQD=3000,ADV_INS_LIQD=11068.75,CIB_PRO_FEE_LIQD=30,DOC_FEE_LIQD=4300,LD_LIQD=171789,PROC_FEE_LIQD=35000,VAT_CIB_PRO_LIQD=4.5,VAT_PRO_FEE_LIQD=5250</t>
  </si>
  <si>
    <t>Abdullah,Shamim Hossain</t>
  </si>
  <si>
    <t>0113</t>
  </si>
  <si>
    <t>Yarn – Lc</t>
  </si>
  <si>
    <t>TXT(L)</t>
  </si>
  <si>
    <t>Textile (Local)</t>
  </si>
  <si>
    <t>Textile</t>
  </si>
  <si>
    <t>Nadim Trading Co.701780</t>
  </si>
  <si>
    <t>718029</t>
  </si>
  <si>
    <t>Md. Mizanur Rahman</t>
  </si>
  <si>
    <t>Road: 453/3(Kha), Vararul Dirasharam,PS: Joydebpur (Gazipur Sadar),Gazipur,Bangladesh</t>
  </si>
  <si>
    <t>01967866133</t>
  </si>
  <si>
    <t xml:space="preserve">Gazipur                  </t>
  </si>
  <si>
    <t>ADV_INS_LIQD=28028,CIB_PRO_FEE_LIQD=160,CRATING_FEE_LIQD=5000,DOC_FEE_LIQD=12900,PROC_FEE_LIQD=97500,VAT_CIB_PRO_LIQD=24,VAT_PRO_FEE_LIQD=14625</t>
  </si>
  <si>
    <t>Jalal Master</t>
  </si>
  <si>
    <t>Fabric Printing</t>
  </si>
  <si>
    <t>Service Provider</t>
  </si>
  <si>
    <t>Shaikat Knitwear707897</t>
  </si>
  <si>
    <t>554434</t>
  </si>
  <si>
    <t>Bappi Saha</t>
  </si>
  <si>
    <t>Other Industries not above mentioned</t>
  </si>
  <si>
    <t>Kotalerbag,PS: Fatullah,Narayanganj,Bangladesh</t>
  </si>
  <si>
    <t>01713368070</t>
  </si>
  <si>
    <t>Others Industry</t>
  </si>
  <si>
    <t>ADV_INS_LIQD=45540,DOC_FEE_LIQD=12050,PROC_FEE_LIQD=180000,VAT_PRO_FEE_LIQD=27000</t>
  </si>
  <si>
    <t>Efthakher Mahmud Shaikat</t>
  </si>
  <si>
    <t>Zain716313</t>
  </si>
  <si>
    <t>House Name: Khilgoan, Apartment No: 45 Nagdhapar Dasherkandi, Floor: 1st,PS: Khilgaon,Dhaka,Bangladesh</t>
  </si>
  <si>
    <t>01714439065</t>
  </si>
  <si>
    <t>10550571631301</t>
  </si>
  <si>
    <t>ADV_ED_1Y_LIQD=3000,ADV_INS_LIQD=4743.75,CIB_PRO_FEE_LIQD=110,DOC_FEE_LIQD=3700,PROC_FEE_LIQD=11250,VAT_CIB_PRO_LIQD=16.5,VAT_PRO_FEE_LIQD=1687.5</t>
  </si>
  <si>
    <t>Rafikul Islam</t>
  </si>
  <si>
    <t>0701</t>
  </si>
  <si>
    <t>CI/GP Sheet</t>
  </si>
  <si>
    <t>M M Rahman And Sons725076</t>
  </si>
  <si>
    <t>718026</t>
  </si>
  <si>
    <t>Uzzal Roy</t>
  </si>
  <si>
    <t>Raybazar, Atharobari,PS: Ishwarganj,Mymensingh,Bangladesh</t>
  </si>
  <si>
    <t>01950331740</t>
  </si>
  <si>
    <t xml:space="preserve">Mymensingh               </t>
  </si>
  <si>
    <t>12550572507602</t>
  </si>
  <si>
    <t>ADV_ED_1Y_LIQD=3000,ADV_INS_LIQD=9018.9,CIB_PRO_FEE_LIQD=40,DOC_FEE_LIQD=4600,PROC_FEE_LIQD=22500,VAT_CIB_PRO_LIQD=6,VAT_PRO_FEE_LIQD=3375</t>
  </si>
  <si>
    <t>Ashiqur Rahman</t>
  </si>
  <si>
    <t>SE SACHAL LOAN</t>
  </si>
  <si>
    <t>7761</t>
  </si>
  <si>
    <t>Sand &amp; Stone</t>
  </si>
  <si>
    <t>B.C. Construction735563</t>
  </si>
  <si>
    <t>694598</t>
  </si>
  <si>
    <t>Md. Shahidul Islam</t>
  </si>
  <si>
    <t>Holding Number:29, Road:Shukursi, Sarolia,PS:Demra,Dhaka,Bangladesh</t>
  </si>
  <si>
    <t>01722242956</t>
  </si>
  <si>
    <t>ADV_INS_LIQD=22200.75,CIB_PRO_FEE_LIQD=20,DOC_FEE_LIQD=11450,PROC_FEE_LIQD=67500,VAT_CIB_PRO_LIQD=3,VAT_PRO_FEE_LIQD=10125</t>
  </si>
  <si>
    <t>Robin Khan</t>
  </si>
  <si>
    <t>N.R.Enterprise740252</t>
  </si>
  <si>
    <t>696252</t>
  </si>
  <si>
    <t>Ulfat Ara</t>
  </si>
  <si>
    <t>Holding Number:392, Road:Shahid Janani Jahanara Imam Sarani, Shop: 139, Hossainia Market, 5th Floor,PS:New market,Dhaka,Bangladesh</t>
  </si>
  <si>
    <t>01711382414</t>
  </si>
  <si>
    <t>ADV_INS_LIQD=13282.5,CIB_PRO_FEE_LIQD=210,DOC_FEE_LIQD=4000,PROC_FEE_LIQD=52500,VAT_CIB_PRO_LIQD=31.5,VAT_PRO_FEE_LIQD=7875</t>
  </si>
  <si>
    <t>Robin Ahmed</t>
  </si>
  <si>
    <t>SE COMMERCIAL VEHICLE LOAN</t>
  </si>
  <si>
    <t>7718</t>
  </si>
  <si>
    <t>Road Transport</t>
  </si>
  <si>
    <t>TP</t>
  </si>
  <si>
    <t>Travel &amp; Transport</t>
  </si>
  <si>
    <t>Vehicle</t>
  </si>
  <si>
    <t>Transport and Aviation</t>
  </si>
  <si>
    <t>Service Others</t>
  </si>
  <si>
    <t>Safia International Ltd.771621</t>
  </si>
  <si>
    <t>Road Transport Companies (including Rent -a - car)</t>
  </si>
  <si>
    <t>Transport</t>
  </si>
  <si>
    <t>Road Transport (excluding Personal vehicle &amp; Lease finance)</t>
  </si>
  <si>
    <t>Vehicles</t>
  </si>
  <si>
    <t>Transport &amp; Communication</t>
  </si>
  <si>
    <t>House-75/1, Mollar Tek, Ashkona,PS: Daskhinkhan,Dhaka,Bangladesh</t>
  </si>
  <si>
    <t>01711957682</t>
  </si>
  <si>
    <t>Transport &amp; Aviation</t>
  </si>
  <si>
    <t>Md. Hasem Mia,Md. Rasad Mia,Mst. Nurun Nahar</t>
  </si>
  <si>
    <t>Knitting –Lc</t>
  </si>
  <si>
    <t>Manufacturing company excluding dyeing/ washing</t>
  </si>
  <si>
    <t>SPECTRUM FABRICS775625</t>
  </si>
  <si>
    <t>693679</t>
  </si>
  <si>
    <t>Amrita Sarker</t>
  </si>
  <si>
    <t>Readymade Garments Industries</t>
  </si>
  <si>
    <t>Probaho-1 (Unsecured)</t>
  </si>
  <si>
    <t>Road: Vobanipur, Kashimpur, Gazipur Sadar,,Gazipur,Bangladesh</t>
  </si>
  <si>
    <t>01716595072</t>
  </si>
  <si>
    <t>ADV_ED_1Y_LIQD=150,ADV_INS_LIQD=1581.25,CIB_PRO_FEE_LIQD=100,DOC_FEE_LIQD=3700,PROC_FEE_LIQD=5000,VAT_CIB_PRO_LIQD=15,VAT_PRO_FEE_LIQD=750</t>
  </si>
  <si>
    <t>Md. Shawkat Ali Akon</t>
  </si>
  <si>
    <t>0203</t>
  </si>
  <si>
    <t>Transport Cargo &amp; Fuel - Road</t>
  </si>
  <si>
    <t>Transport Company</t>
  </si>
  <si>
    <t>Turzo Motors776163</t>
  </si>
  <si>
    <t>183906</t>
  </si>
  <si>
    <t>Keshor Roy</t>
  </si>
  <si>
    <t>Jhenaidah</t>
  </si>
  <si>
    <t>Road: Ward No-0009, Aminul Complex, Kushtia Road,,Jhenaida,Bangladesh</t>
  </si>
  <si>
    <t>01713908590</t>
  </si>
  <si>
    <t xml:space="preserve">Jessore                  </t>
  </si>
  <si>
    <t>Md Asaduzzaman</t>
  </si>
  <si>
    <t>0109</t>
  </si>
  <si>
    <t>N.N CORPORATION777845</t>
  </si>
  <si>
    <t>735009</t>
  </si>
  <si>
    <t>Shehab Uddin</t>
  </si>
  <si>
    <t>Misco Super Market, Shop No: 22, 4 No. Darus Salam Road, Mirpur-1,Dhaka,Bangladesh</t>
  </si>
  <si>
    <t>01973550099</t>
  </si>
  <si>
    <t>ADV_INS_LIQD=3162.5,CIB_PRO_FEE_LIQD=200,DOC_FEE_LIQD=3700,PROC_FEE_LIQD=10000,VAT_CIB_PRO_LIQD=30,VAT_PRO_FEE_LIQD=1500</t>
  </si>
  <si>
    <t>Nacher Ahammed Arafat</t>
  </si>
  <si>
    <t>Ms Rod &amp; Angel</t>
  </si>
  <si>
    <t>MAYA TRADERS778464</t>
  </si>
  <si>
    <t>762141</t>
  </si>
  <si>
    <t>Md. Mostakur Rahman</t>
  </si>
  <si>
    <t>Small Enterprise Refinancing Scheme</t>
  </si>
  <si>
    <t>Magura</t>
  </si>
  <si>
    <t>Road: Arpara Bazar,,Magura,Bangladesh</t>
  </si>
  <si>
    <t>01786208872</t>
  </si>
  <si>
    <t>ADV_INS_LIQD=10466.5,CIB_PRO_FEE_LIQD=210,DOC_FEE_LIQD=3700,PROC_FEE_LIQD=55000,VAT_CIB_PRO_LIQD=31.5,VAT_PRO_FEE_LIQD=8250</t>
  </si>
  <si>
    <t>Rima Khatun</t>
  </si>
  <si>
    <t>Battery &amp; Battery Recycling</t>
  </si>
  <si>
    <t>CHM</t>
  </si>
  <si>
    <t>Chemicals</t>
  </si>
  <si>
    <t>Tamanna Battery Center779030</t>
  </si>
  <si>
    <t>696219</t>
  </si>
  <si>
    <t>Samim Ahmod</t>
  </si>
  <si>
    <t>Road: Sabgram Bypass,,Bogura,Bangladesh</t>
  </si>
  <si>
    <t>01718616229</t>
  </si>
  <si>
    <t>10650577903002</t>
  </si>
  <si>
    <t>ADV_ED_1Y_LIQD=5000,ADV_INS_LIQD=21560,CIB_PRO_FEE_LIQD=220,DOC_FEE_LIQD=3700,PROC_FEE_LIQD=75000,VAT_CIB_PRO_LIQD=33,VAT_PRO_FEE_LIQD=11250</t>
  </si>
  <si>
    <t>Tohidul Islam</t>
  </si>
  <si>
    <t>Household metal products</t>
  </si>
  <si>
    <t>HH</t>
  </si>
  <si>
    <t>House Hold Items &amp; Lifestyle Products</t>
  </si>
  <si>
    <t>Electronics and Electrical Products</t>
  </si>
  <si>
    <t>AYAN METAL779777</t>
  </si>
  <si>
    <t>732421</t>
  </si>
  <si>
    <t>Minuddin Hosen</t>
  </si>
  <si>
    <t>Steel Engineering &amp; Metallic Products Industries (Including Rerolling Mills)</t>
  </si>
  <si>
    <t>Road: BSCIC Shilponagori,,Madaripur,Bangladesh</t>
  </si>
  <si>
    <t>01733287049</t>
  </si>
  <si>
    <t>ADV_ED_1Y_LIQD=3000,ADV_INS_LIQD=7906.25,CIB_PRO_FEE_LIQD=230,DOC_FEE_LIQD=4300,LD_LIQD=123606,PROC_FEE_LIQD=25000,VAT_CIB_PRO_LIQD=34.5,VAT_PRO_FEE_LIQD=3750</t>
  </si>
  <si>
    <t>Mojibor Howlader</t>
  </si>
  <si>
    <t>Vehicle Accessories</t>
  </si>
  <si>
    <t>Robeyed  Traders781438</t>
  </si>
  <si>
    <t>507724</t>
  </si>
  <si>
    <t>Md. Mamun Ahamed</t>
  </si>
  <si>
    <t>Naogaon</t>
  </si>
  <si>
    <t>Road: West Dhaka Road, Natore Bypass,,Naogaon,Bangladesh</t>
  </si>
  <si>
    <t>01754326374</t>
  </si>
  <si>
    <t>ADV_INS_LIQD=6325,CIB_PRO_FEE_LIQD=120,DOC_FEE_LIQD=4000,PROC_FEE_LIQD=20000,VAT_CIB_PRO_LIQD=18,VAT_PRO_FEE_LIQD=3000</t>
  </si>
  <si>
    <t>Rabiul Aowal</t>
  </si>
  <si>
    <t>Household Electrical Tools &amp; Accessories</t>
  </si>
  <si>
    <t>Pathan Light House781969</t>
  </si>
  <si>
    <t>418536</t>
  </si>
  <si>
    <t>Md. Jakir Hossain</t>
  </si>
  <si>
    <t>Road: 13/1 No Kaptan Bazar 2nd Floor,,Dhaka,Bangladesh</t>
  </si>
  <si>
    <t>01919057438</t>
  </si>
  <si>
    <t>11050578196901</t>
  </si>
  <si>
    <t>ADV_ED_1Y_LIQD=3000,ADV_INS_LIQD=4743.75,CIB_PRO_FEE_LIQD=100,DOC_FEE_LIQD=3700,PROC_FEE_LIQD=7500,VAT_CIB_PRO_LIQD=15,VAT_PRO_FEE_LIQD=1125</t>
  </si>
  <si>
    <t>Emon Islam</t>
  </si>
  <si>
    <t>Zahid Auto Rice Mill782020</t>
  </si>
  <si>
    <t>657614</t>
  </si>
  <si>
    <t>Mizanur Rahman</t>
  </si>
  <si>
    <t>Mohadebpur, Naogaon</t>
  </si>
  <si>
    <t>Road: Dakkin Hossenpur,,Naogaon,Bangladesh</t>
  </si>
  <si>
    <t>01762607474</t>
  </si>
  <si>
    <t>ADV_INS_LIQD=28462.5,CIB_PRO_FEE_LIQD=300,DOC_FEE_LIQD=4000,PROC_FEE_LIQD=75000,VAT_CIB_PRO_LIQD=45,VAT_PRO_FEE_LIQD=11250</t>
  </si>
  <si>
    <t>Md. Selim Uddin Mondal</t>
  </si>
  <si>
    <t>0103</t>
  </si>
  <si>
    <t>New Tata Motors782781</t>
  </si>
  <si>
    <t>621815</t>
  </si>
  <si>
    <t>Arafath Hossain</t>
  </si>
  <si>
    <t>Road: 1/62, Rahman Super Market, Rayer Bag,,Dhaka,Bangladesh</t>
  </si>
  <si>
    <t>01924806256</t>
  </si>
  <si>
    <t>10250578278101</t>
  </si>
  <si>
    <t>ADV_ED_1Y_LIQD=3000,ADV_INS_LIQD=9487.5,CIB_PRO_FEE_LIQD=200,DOC_FEE_LIQD=3700,PROC_FEE_LIQD=15000,VAT_CIB_PRO_LIQD=30,VAT_PRO_FEE_LIQD=2250</t>
  </si>
  <si>
    <t>Md. Bulbul</t>
  </si>
  <si>
    <t>Gram Bangla Corporation782819</t>
  </si>
  <si>
    <t>603826</t>
  </si>
  <si>
    <t>Sujan Bagchi</t>
  </si>
  <si>
    <t>Road: 125, Nawabpur Road, Aziz Market,,Dhaka,Bangladesh</t>
  </si>
  <si>
    <t>01716443154</t>
  </si>
  <si>
    <t>10250578281901</t>
  </si>
  <si>
    <t>ADV_ED_1Y_LIQD=3000,ADV_INS_LIQD=3017.03,CIB_PRO_FEE_LIQD=200,DOC_FEE_LIQD=4300,PROC_FEE_LIQD=11250,VAT_CIB_PRO_LIQD=30,VAT_PRO_FEE_LIQD=1687.5</t>
  </si>
  <si>
    <t>Md Atiar</t>
  </si>
  <si>
    <t>0001</t>
  </si>
  <si>
    <t>Khorshed Alam Hasan And Sons783034</t>
  </si>
  <si>
    <t>594222</t>
  </si>
  <si>
    <t>Ali Hossan</t>
  </si>
  <si>
    <t>Chittagong</t>
  </si>
  <si>
    <t>Road: Samadpur, Aturar Dipo, Ward: 3 No Panchalish,PS: Baiozid Bostami,Chattogram,Bangladesh</t>
  </si>
  <si>
    <t>01858581993</t>
  </si>
  <si>
    <t xml:space="preserve">Chittagong               </t>
  </si>
  <si>
    <t>10350578303401</t>
  </si>
  <si>
    <t>ADV_ED_1Y_LIQD=3000,ADV_INS_LIQD=6325,CIB_PRO_FEE_LIQD=200,DOC_FEE_LIQD=3400,PROC_FEE_LIQD=10000,VAT_CIB_PRO_LIQD=30,VAT_PRO_FEE_LIQD=1500</t>
  </si>
  <si>
    <t>Khurshid Alam</t>
  </si>
  <si>
    <t>0111</t>
  </si>
  <si>
    <t>Elma Traders783431</t>
  </si>
  <si>
    <t>547263</t>
  </si>
  <si>
    <t>Holding No: 222/1, Road: Shakerchar,Baburhat,Ward No-07, PO: Shakerchar,PS: Narshingdi Sadar,Narshingdi,Bangladesh</t>
  </si>
  <si>
    <t>01715118926</t>
  </si>
  <si>
    <t xml:space="preserve">Narshingdi               </t>
  </si>
  <si>
    <t>11450578343101</t>
  </si>
  <si>
    <t>ADV_ED_1Y_LIQD=500,ADV_INS_LIQD=3162.5,CIB_PRO_FEE_LIQD=100,DOC_FEE_LIQD=3700,PROC_FEE_LIQD=5000,VAT_CIB_PRO_LIQD=15,VAT_PRO_FEE_LIQD=750</t>
  </si>
  <si>
    <t>Masud Miah Pradahn</t>
  </si>
  <si>
    <t>HAZERA AND SONS783572</t>
  </si>
  <si>
    <t>236181</t>
  </si>
  <si>
    <t>Monsur Ali Sarker</t>
  </si>
  <si>
    <t>Sayed Mridha Road, Riya Graments Songhlogno, Datta Para,Gazipur,Bangladesh</t>
  </si>
  <si>
    <t>01915360006</t>
  </si>
  <si>
    <t>ADV_INS_LIQD=12650,CIB_PRO_FEE_LIQD=100,DOC_FEE_LIQD=3700,PROC_FEE_LIQD=30000,VAT_CIB_PRO_LIQD=15,VAT_PRO_FEE_LIQD=4500</t>
  </si>
  <si>
    <t>Shahabuddin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</si>
</sst>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#######"/>
    <numFmt numFmtId="166" formatCode="[$-409]mmm\-yy;@"/>
  </numFmts>
  <fonts count="5" x14ac:knownFonts="1">
    <font>
      <sz val="11"/>
      <color indexed="8"/>
      <name val="Calibri"/>
      <family val="2"/>
      <scheme val="minor"/>
    </font>
    <font>
      <sz val="11"/>
      <color indexed="8"/>
      <name val="IDLC"/>
    </font>
    <font>
      <sz val="11"/>
      <color indexed="8"/>
      <name val="Calibri"/>
      <family val="2"/>
      <scheme val="minor"/>
    </font>
    <font>
      <b/>
      <i/>
      <sz val="11"/>
      <color indexed="8"/>
      <name val="IDLC"/>
    </font>
    <font>
      <i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6" fontId="1" fillId="0" borderId="1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3" fontId="1" fillId="0" borderId="1" xfId="0" applyNumberFormat="1" applyFont="1" applyBorder="1"/>
    <xf numFmtId="0" fontId="1" fillId="0" borderId="1" xfId="0" applyFont="1" applyBorder="1" applyAlignment="1">
      <alignment horizontal="center"/>
    </xf>
    <xf numFmtId="10" fontId="1" fillId="0" borderId="1" xfId="1" applyNumberFormat="1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4" fontId="1" fillId="0" borderId="1" xfId="0" applyNumberFormat="1" applyFont="1" applyBorder="1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9"/>
  <sheetViews>
    <sheetView tabSelected="1" workbookViewId="0">
      <pane ySplit="1" topLeftCell="A2" activePane="bottomLeft" state="frozen"/>
      <selection pane="bottomLeft" activeCell="E12" sqref="E12"/>
    </sheetView>
  </sheetViews>
  <sheetFormatPr defaultRowHeight="14.4" x14ac:dyDescent="0.3"/>
  <cols>
    <col min="1" max="1" width="9.77734375" bestFit="1" customWidth="1"/>
    <col min="2" max="2" width="9.77734375" customWidth="1"/>
    <col min="3" max="3" width="22.21875" bestFit="1" customWidth="1"/>
    <col min="4" max="4" width="14" bestFit="1" customWidth="1"/>
    <col min="5" max="5" width="21.21875" bestFit="1" customWidth="1"/>
    <col min="6" max="6" width="19.44140625" style="1" bestFit="1" customWidth="1"/>
    <col min="7" max="7" width="21.77734375" bestFit="1" customWidth="1"/>
    <col min="8" max="8" width="22.21875" bestFit="1" customWidth="1"/>
    <col min="9" max="9" width="19.6640625" style="1" customWidth="1"/>
    <col min="10" max="10" width="12.44140625" bestFit="1" customWidth="1"/>
  </cols>
  <sheetData>
    <row r="1" spans="1:9" s="2" customFormat="1" ht="45.6" customHeight="1" x14ac:dyDescent="0.3">
      <c r="A1" s="3" t="s">
        <v>153</v>
      </c>
      <c r="B1" s="3"/>
      <c r="C1" s="3" t="s">
        <v>0</v>
      </c>
      <c r="D1" s="3" t="s">
        <v>1</v>
      </c>
      <c r="E1" s="3" t="s">
        <v>154</v>
      </c>
      <c r="F1" s="3" t="s">
        <v>155</v>
      </c>
      <c r="G1" s="13" t="s">
        <v>156</v>
      </c>
      <c r="H1" s="14" t="s">
        <v>157</v>
      </c>
      <c r="I1" s="14" t="s">
        <v>158</v>
      </c>
    </row>
    <row r="2" spans="1:9" ht="15" x14ac:dyDescent="0.35">
      <c r="A2" s="4" t="s">
        <v>2</v>
      </c>
      <c r="B2" s="4"/>
      <c r="C2" s="5" t="s">
        <v>3</v>
      </c>
      <c r="D2" s="6">
        <v>153448546.40000001</v>
      </c>
      <c r="E2" s="7">
        <v>69140278</v>
      </c>
      <c r="F2" s="8" t="s">
        <v>4</v>
      </c>
      <c r="G2" s="7">
        <f>SUM($D$2:D2)</f>
        <v>153448546.40000001</v>
      </c>
      <c r="H2" s="7">
        <v>69140278</v>
      </c>
      <c r="I2" s="9">
        <v>0.4506</v>
      </c>
    </row>
    <row r="3" spans="1:9" ht="15" x14ac:dyDescent="0.35">
      <c r="A3" s="4" t="s">
        <v>5</v>
      </c>
      <c r="B3" s="4"/>
      <c r="C3" s="5" t="s">
        <v>3</v>
      </c>
      <c r="D3" s="6">
        <v>158739875.59999999</v>
      </c>
      <c r="E3" s="7">
        <v>77654598</v>
      </c>
      <c r="F3" s="8" t="s">
        <v>6</v>
      </c>
      <c r="G3" s="7">
        <f>SUM($D$2:D3)</f>
        <v>312188422</v>
      </c>
      <c r="H3" s="7">
        <v>146794876</v>
      </c>
      <c r="I3" s="9">
        <v>0.47020000000000001</v>
      </c>
    </row>
    <row r="4" spans="1:9" ht="15" x14ac:dyDescent="0.35">
      <c r="A4" s="4" t="s">
        <v>7</v>
      </c>
      <c r="B4" s="4"/>
      <c r="C4" s="5" t="s">
        <v>3</v>
      </c>
      <c r="D4" s="6">
        <v>141102111.59999999</v>
      </c>
      <c r="E4" s="7">
        <v>109018350</v>
      </c>
      <c r="F4" s="8" t="s">
        <v>8</v>
      </c>
      <c r="G4" s="7">
        <f>SUM($D$2:D4)</f>
        <v>453290533.60000002</v>
      </c>
      <c r="H4" s="7">
        <v>255813226</v>
      </c>
      <c r="I4" s="9">
        <v>0.56430000000000002</v>
      </c>
    </row>
    <row r="5" spans="1:9" ht="15" x14ac:dyDescent="0.35">
      <c r="A5" s="4"/>
      <c r="B5" s="4"/>
      <c r="C5" s="5" t="s">
        <v>3</v>
      </c>
      <c r="D5" s="6"/>
      <c r="E5" s="7"/>
      <c r="F5" s="8"/>
      <c r="G5" s="6"/>
      <c r="H5" s="7"/>
      <c r="I5" s="9"/>
    </row>
    <row r="6" spans="1:9" ht="15" x14ac:dyDescent="0.35">
      <c r="A6" s="4" t="s">
        <v>2</v>
      </c>
      <c r="B6" s="4"/>
      <c r="C6" s="5" t="s">
        <v>9</v>
      </c>
      <c r="D6" s="6">
        <v>82112824.439999998</v>
      </c>
      <c r="E6" s="7">
        <v>65831517</v>
      </c>
      <c r="F6" s="8" t="s">
        <v>10</v>
      </c>
      <c r="G6" s="12">
        <f>SUM($D$6:D6)</f>
        <v>82112824.439999998</v>
      </c>
      <c r="H6" s="7">
        <v>65831517</v>
      </c>
      <c r="I6" s="9">
        <v>0.80169999999999997</v>
      </c>
    </row>
    <row r="7" spans="1:9" ht="15" x14ac:dyDescent="0.35">
      <c r="A7" s="4" t="s">
        <v>5</v>
      </c>
      <c r="B7" s="4"/>
      <c r="C7" s="5" t="s">
        <v>9</v>
      </c>
      <c r="D7" s="6">
        <v>84944301.140000001</v>
      </c>
      <c r="E7" s="7">
        <v>40319503</v>
      </c>
      <c r="F7" s="8" t="s">
        <v>11</v>
      </c>
      <c r="G7" s="12">
        <f>SUM($D$6:D7)</f>
        <v>167057125.57999998</v>
      </c>
      <c r="H7" s="7">
        <v>106151020</v>
      </c>
      <c r="I7" s="9">
        <v>0.63539999999999996</v>
      </c>
    </row>
    <row r="8" spans="1:9" ht="15" x14ac:dyDescent="0.35">
      <c r="A8" s="4" t="s">
        <v>7</v>
      </c>
      <c r="B8" s="4"/>
      <c r="C8" s="5" t="s">
        <v>9</v>
      </c>
      <c r="D8" s="6">
        <v>75506045.459999993</v>
      </c>
      <c r="E8" s="7">
        <v>41051243</v>
      </c>
      <c r="F8" s="8" t="s">
        <v>12</v>
      </c>
      <c r="G8" s="12">
        <f>SUM($D$6:D8)</f>
        <v>242563171.03999996</v>
      </c>
      <c r="H8" s="7">
        <v>147202263</v>
      </c>
      <c r="I8" s="9">
        <v>0.6069</v>
      </c>
    </row>
    <row r="9" spans="1:9" ht="15" x14ac:dyDescent="0.35">
      <c r="A9" s="4"/>
      <c r="B9" s="4"/>
      <c r="C9" s="5" t="s">
        <v>9</v>
      </c>
      <c r="D9" s="6"/>
      <c r="E9" s="7"/>
      <c r="F9" s="8"/>
      <c r="G9" s="6"/>
      <c r="H9" s="7"/>
      <c r="I9" s="9"/>
    </row>
    <row r="10" spans="1:9" ht="15" x14ac:dyDescent="0.35">
      <c r="A10" s="4" t="s">
        <v>2</v>
      </c>
      <c r="B10" s="4"/>
      <c r="C10" s="5" t="s">
        <v>13</v>
      </c>
      <c r="D10" s="6">
        <v>41056412.219999999</v>
      </c>
      <c r="E10" s="7">
        <v>10800000</v>
      </c>
      <c r="F10" s="8" t="s">
        <v>14</v>
      </c>
      <c r="G10" s="12">
        <f>SUM($D$10:D10)</f>
        <v>41056412.219999999</v>
      </c>
      <c r="H10" s="7">
        <v>10800000</v>
      </c>
      <c r="I10" s="9">
        <v>0.2631</v>
      </c>
    </row>
    <row r="11" spans="1:9" ht="15" x14ac:dyDescent="0.35">
      <c r="A11" s="4" t="s">
        <v>5</v>
      </c>
      <c r="B11" s="4"/>
      <c r="C11" s="5" t="s">
        <v>13</v>
      </c>
      <c r="D11" s="6">
        <v>42472150.57</v>
      </c>
      <c r="E11" s="7">
        <v>23200000</v>
      </c>
      <c r="F11" s="8" t="s">
        <v>15</v>
      </c>
      <c r="G11" s="12">
        <f>SUM($D$10:D11)</f>
        <v>83528562.789999992</v>
      </c>
      <c r="H11" s="7">
        <v>34000000</v>
      </c>
      <c r="I11" s="9">
        <v>0.40700000000000003</v>
      </c>
    </row>
    <row r="12" spans="1:9" ht="15" x14ac:dyDescent="0.35">
      <c r="A12" s="4" t="s">
        <v>7</v>
      </c>
      <c r="B12" s="4"/>
      <c r="C12" s="5" t="s">
        <v>13</v>
      </c>
      <c r="D12" s="6">
        <v>37753022.729999997</v>
      </c>
      <c r="E12" s="7">
        <v>25473712</v>
      </c>
      <c r="F12" s="8" t="s">
        <v>16</v>
      </c>
      <c r="G12" s="12">
        <f>SUM($D$10:D12)</f>
        <v>121281585.51999998</v>
      </c>
      <c r="H12" s="7">
        <v>59473712</v>
      </c>
      <c r="I12" s="9">
        <v>0.4904</v>
      </c>
    </row>
    <row r="13" spans="1:9" ht="15" x14ac:dyDescent="0.35">
      <c r="A13" s="4"/>
      <c r="B13" s="4"/>
      <c r="C13" s="5" t="s">
        <v>13</v>
      </c>
      <c r="D13" s="6"/>
      <c r="E13" s="7"/>
      <c r="F13" s="8"/>
      <c r="G13" s="6"/>
      <c r="H13" s="7"/>
      <c r="I13" s="9"/>
    </row>
    <row r="14" spans="1:9" ht="15" x14ac:dyDescent="0.35">
      <c r="A14" s="4" t="s">
        <v>2</v>
      </c>
      <c r="B14" s="4"/>
      <c r="C14" s="5" t="s">
        <v>17</v>
      </c>
      <c r="D14" s="7">
        <v>129642207</v>
      </c>
      <c r="E14" s="6">
        <v>108013959.90000001</v>
      </c>
      <c r="F14" s="8" t="s">
        <v>18</v>
      </c>
      <c r="G14" s="12">
        <f>SUM($D$14:D14)</f>
        <v>129642207</v>
      </c>
      <c r="H14" s="6">
        <v>108013959.90000001</v>
      </c>
      <c r="I14" s="9">
        <v>0.83319999999999994</v>
      </c>
    </row>
    <row r="15" spans="1:9" ht="15" x14ac:dyDescent="0.35">
      <c r="A15" s="4" t="s">
        <v>5</v>
      </c>
      <c r="B15" s="4"/>
      <c r="C15" s="5" t="s">
        <v>17</v>
      </c>
      <c r="D15" s="7">
        <v>134112628</v>
      </c>
      <c r="E15" s="7">
        <v>110600000</v>
      </c>
      <c r="F15" s="8" t="s">
        <v>19</v>
      </c>
      <c r="G15" s="12">
        <f>SUM($D$14:D15)</f>
        <v>263754835</v>
      </c>
      <c r="H15" s="6">
        <v>218613959.90000001</v>
      </c>
      <c r="I15" s="9">
        <v>0.82889999999999997</v>
      </c>
    </row>
    <row r="16" spans="1:9" ht="15" x14ac:dyDescent="0.35">
      <c r="A16" s="4" t="s">
        <v>7</v>
      </c>
      <c r="B16" s="4"/>
      <c r="C16" s="5" t="s">
        <v>17</v>
      </c>
      <c r="D16" s="6">
        <v>119211224.8</v>
      </c>
      <c r="E16" s="7">
        <v>154831579</v>
      </c>
      <c r="F16" s="8" t="s">
        <v>20</v>
      </c>
      <c r="G16" s="12">
        <f>SUM($D$14:D16)</f>
        <v>382966059.80000001</v>
      </c>
      <c r="H16" s="6">
        <v>373445538.89999998</v>
      </c>
      <c r="I16" s="9">
        <v>0.97510000000000008</v>
      </c>
    </row>
    <row r="17" spans="1:9" ht="15" x14ac:dyDescent="0.35">
      <c r="A17" s="4"/>
      <c r="B17" s="4"/>
      <c r="C17" s="5" t="s">
        <v>17</v>
      </c>
      <c r="D17" s="6"/>
      <c r="E17" s="7"/>
      <c r="F17" s="8"/>
      <c r="G17" s="6"/>
      <c r="H17" s="6"/>
      <c r="I17" s="9"/>
    </row>
    <row r="18" spans="1:9" ht="15" x14ac:dyDescent="0.35">
      <c r="A18" s="4" t="s">
        <v>2</v>
      </c>
      <c r="B18" s="4"/>
      <c r="C18" s="5" t="s">
        <v>21</v>
      </c>
      <c r="D18" s="6">
        <v>216955523.40000001</v>
      </c>
      <c r="E18" s="6">
        <v>195564695.30000001</v>
      </c>
      <c r="F18" s="8" t="s">
        <v>22</v>
      </c>
      <c r="G18" s="12">
        <f>SUM($D$18:D18)</f>
        <v>216955523.40000001</v>
      </c>
      <c r="H18" s="6">
        <v>195564695.30000001</v>
      </c>
      <c r="I18" s="9">
        <v>0.90139999999999998</v>
      </c>
    </row>
    <row r="19" spans="1:9" ht="15" x14ac:dyDescent="0.35">
      <c r="A19" s="4" t="s">
        <v>5</v>
      </c>
      <c r="B19" s="4"/>
      <c r="C19" s="5" t="s">
        <v>21</v>
      </c>
      <c r="D19" s="6">
        <v>224436748.30000001</v>
      </c>
      <c r="E19" s="7">
        <v>187981797</v>
      </c>
      <c r="F19" s="8" t="s">
        <v>23</v>
      </c>
      <c r="G19" s="12">
        <f>SUM($D$18:D19)</f>
        <v>441392271.70000005</v>
      </c>
      <c r="H19" s="6">
        <v>383546492.30000001</v>
      </c>
      <c r="I19" s="9">
        <v>0.86890000000000001</v>
      </c>
    </row>
    <row r="20" spans="1:9" ht="15" x14ac:dyDescent="0.35">
      <c r="A20" s="4" t="s">
        <v>7</v>
      </c>
      <c r="B20" s="4"/>
      <c r="C20" s="5" t="s">
        <v>21</v>
      </c>
      <c r="D20" s="6">
        <v>199499331.90000001</v>
      </c>
      <c r="E20" s="7">
        <v>300679160</v>
      </c>
      <c r="F20" s="8" t="s">
        <v>24</v>
      </c>
      <c r="G20" s="12">
        <f>SUM($D$18:D20)</f>
        <v>640891603.60000002</v>
      </c>
      <c r="H20" s="6">
        <v>684225652.29999995</v>
      </c>
      <c r="I20" s="9">
        <v>1.0676000000000001</v>
      </c>
    </row>
    <row r="21" spans="1:9" ht="15" x14ac:dyDescent="0.35">
      <c r="A21" s="4"/>
      <c r="B21" s="4"/>
      <c r="C21" s="5" t="s">
        <v>21</v>
      </c>
      <c r="D21" s="6"/>
      <c r="E21" s="7"/>
      <c r="F21" s="8"/>
      <c r="G21" s="6"/>
      <c r="H21" s="6"/>
      <c r="I21" s="9"/>
    </row>
    <row r="22" spans="1:9" ht="15" x14ac:dyDescent="0.35">
      <c r="A22" s="4" t="s">
        <v>2</v>
      </c>
      <c r="B22" s="4"/>
      <c r="C22" s="5" t="s">
        <v>25</v>
      </c>
      <c r="D22" s="6">
        <v>60007418.409999996</v>
      </c>
      <c r="E22" s="7">
        <v>48683985</v>
      </c>
      <c r="F22" s="8" t="s">
        <v>26</v>
      </c>
      <c r="G22" s="12">
        <f>SUM($D$22:D22)</f>
        <v>60007418.409999996</v>
      </c>
      <c r="H22" s="7">
        <v>48683985</v>
      </c>
      <c r="I22" s="9">
        <v>0.81129999999999991</v>
      </c>
    </row>
    <row r="23" spans="1:9" ht="15" x14ac:dyDescent="0.35">
      <c r="A23" s="4" t="s">
        <v>5</v>
      </c>
      <c r="B23" s="4"/>
      <c r="C23" s="5" t="s">
        <v>25</v>
      </c>
      <c r="D23" s="6">
        <v>62076639.729999997</v>
      </c>
      <c r="E23" s="7">
        <v>146566301</v>
      </c>
      <c r="F23" s="8" t="s">
        <v>27</v>
      </c>
      <c r="G23" s="12">
        <f>SUM($D$22:D23)</f>
        <v>122084058.13999999</v>
      </c>
      <c r="H23" s="7">
        <v>195250286</v>
      </c>
      <c r="I23" s="9">
        <v>1.5993000000000002</v>
      </c>
    </row>
    <row r="24" spans="1:9" ht="15" x14ac:dyDescent="0.35">
      <c r="A24" s="4" t="s">
        <v>7</v>
      </c>
      <c r="B24" s="4"/>
      <c r="C24" s="5" t="s">
        <v>25</v>
      </c>
      <c r="D24" s="6">
        <v>55179235.32</v>
      </c>
      <c r="E24" s="7">
        <v>147968411</v>
      </c>
      <c r="F24" s="8" t="s">
        <v>28</v>
      </c>
      <c r="G24" s="12">
        <f>SUM($D$22:D24)</f>
        <v>177263293.45999998</v>
      </c>
      <c r="H24" s="7">
        <v>343218697</v>
      </c>
      <c r="I24" s="9">
        <v>1.9362000000000001</v>
      </c>
    </row>
    <row r="25" spans="1:9" ht="15" x14ac:dyDescent="0.35">
      <c r="A25" s="4"/>
      <c r="B25" s="4"/>
      <c r="C25" s="5" t="s">
        <v>25</v>
      </c>
      <c r="D25" s="6"/>
      <c r="E25" s="7"/>
      <c r="F25" s="8"/>
      <c r="G25" s="6"/>
      <c r="H25" s="7"/>
      <c r="I25" s="9"/>
    </row>
    <row r="26" spans="1:9" ht="15" x14ac:dyDescent="0.35">
      <c r="A26" s="4" t="s">
        <v>2</v>
      </c>
      <c r="B26" s="4"/>
      <c r="C26" s="5" t="s">
        <v>29</v>
      </c>
      <c r="D26" s="6">
        <v>132505460.8</v>
      </c>
      <c r="E26" s="6">
        <v>124212179.2</v>
      </c>
      <c r="F26" s="8" t="s">
        <v>30</v>
      </c>
      <c r="G26" s="12">
        <f>SUM($D$26:D26)</f>
        <v>132505460.8</v>
      </c>
      <c r="H26" s="6">
        <v>124212179.2</v>
      </c>
      <c r="I26" s="9">
        <v>0.9373999999999999</v>
      </c>
    </row>
    <row r="27" spans="1:9" ht="15" x14ac:dyDescent="0.35">
      <c r="A27" s="4" t="s">
        <v>5</v>
      </c>
      <c r="B27" s="4"/>
      <c r="C27" s="5" t="s">
        <v>29</v>
      </c>
      <c r="D27" s="6">
        <v>137074614.59999999</v>
      </c>
      <c r="E27" s="7">
        <v>114096429</v>
      </c>
      <c r="F27" s="8" t="s">
        <v>31</v>
      </c>
      <c r="G27" s="12">
        <f>SUM($D$26:D27)</f>
        <v>269580075.39999998</v>
      </c>
      <c r="H27" s="6">
        <v>238308608.19999999</v>
      </c>
      <c r="I27" s="9">
        <v>0.88400000000000001</v>
      </c>
    </row>
    <row r="28" spans="1:9" ht="15" x14ac:dyDescent="0.35">
      <c r="A28" s="4" t="s">
        <v>7</v>
      </c>
      <c r="B28" s="4"/>
      <c r="C28" s="5" t="s">
        <v>29</v>
      </c>
      <c r="D28" s="6">
        <v>121844101.90000001</v>
      </c>
      <c r="E28" s="7">
        <v>108044983</v>
      </c>
      <c r="F28" s="8" t="s">
        <v>32</v>
      </c>
      <c r="G28" s="12">
        <f>SUM($D$26:D28)</f>
        <v>391424177.29999995</v>
      </c>
      <c r="H28" s="6">
        <v>346353591.19999999</v>
      </c>
      <c r="I28" s="9">
        <v>0.88489999999999991</v>
      </c>
    </row>
    <row r="29" spans="1:9" ht="15" x14ac:dyDescent="0.35">
      <c r="A29" s="4"/>
      <c r="B29" s="4"/>
      <c r="C29" s="5" t="s">
        <v>29</v>
      </c>
      <c r="D29" s="6"/>
      <c r="E29" s="7"/>
      <c r="F29" s="8"/>
      <c r="G29" s="6"/>
      <c r="H29" s="6"/>
      <c r="I29" s="9"/>
    </row>
    <row r="30" spans="1:9" ht="15" x14ac:dyDescent="0.35">
      <c r="A30" s="4" t="s">
        <v>2</v>
      </c>
      <c r="B30" s="4"/>
      <c r="C30" s="5" t="s">
        <v>33</v>
      </c>
      <c r="D30" s="6">
        <v>179594749.5</v>
      </c>
      <c r="E30" s="7">
        <v>168818828</v>
      </c>
      <c r="F30" s="8" t="s">
        <v>34</v>
      </c>
      <c r="G30" s="12">
        <f>SUM($D$30:D30)</f>
        <v>179594749.5</v>
      </c>
      <c r="H30" s="7">
        <v>168818828</v>
      </c>
      <c r="I30" s="9">
        <v>0.94</v>
      </c>
    </row>
    <row r="31" spans="1:9" ht="15" x14ac:dyDescent="0.35">
      <c r="A31" s="4" t="s">
        <v>5</v>
      </c>
      <c r="B31" s="4"/>
      <c r="C31" s="5" t="s">
        <v>33</v>
      </c>
      <c r="D31" s="6">
        <v>185787671.90000001</v>
      </c>
      <c r="E31" s="7">
        <v>153118461</v>
      </c>
      <c r="F31" s="8" t="s">
        <v>35</v>
      </c>
      <c r="G31" s="12">
        <f>SUM($D$30:D31)</f>
        <v>365382421.39999998</v>
      </c>
      <c r="H31" s="7">
        <v>321937289</v>
      </c>
      <c r="I31" s="9">
        <v>0.88109999999999999</v>
      </c>
    </row>
    <row r="32" spans="1:9" ht="15" x14ac:dyDescent="0.35">
      <c r="A32" s="4" t="s">
        <v>7</v>
      </c>
      <c r="B32" s="4"/>
      <c r="C32" s="5" t="s">
        <v>33</v>
      </c>
      <c r="D32" s="6">
        <v>165144597.19999999</v>
      </c>
      <c r="E32" s="7">
        <v>141346274</v>
      </c>
      <c r="F32" s="8" t="s">
        <v>36</v>
      </c>
      <c r="G32" s="12">
        <f>SUM($D$30:D32)</f>
        <v>530527018.59999996</v>
      </c>
      <c r="H32" s="7">
        <v>463283563</v>
      </c>
      <c r="I32" s="9">
        <v>0.87329999999999997</v>
      </c>
    </row>
    <row r="33" spans="1:9" ht="15" x14ac:dyDescent="0.35">
      <c r="A33" s="4"/>
      <c r="B33" s="4"/>
      <c r="C33" s="5" t="s">
        <v>33</v>
      </c>
      <c r="D33" s="6"/>
      <c r="E33" s="7"/>
      <c r="F33" s="8"/>
      <c r="G33" s="6"/>
      <c r="H33" s="7"/>
      <c r="I33" s="9"/>
    </row>
    <row r="34" spans="1:9" ht="15" x14ac:dyDescent="0.35">
      <c r="A34" s="4" t="s">
        <v>2</v>
      </c>
      <c r="B34" s="4"/>
      <c r="C34" s="5" t="s">
        <v>37</v>
      </c>
      <c r="D34" s="6">
        <v>382679301.80000001</v>
      </c>
      <c r="E34" s="7">
        <v>398358478</v>
      </c>
      <c r="F34" s="8" t="s">
        <v>38</v>
      </c>
      <c r="G34" s="12">
        <f>SUM($D$34:D34)</f>
        <v>382679301.80000001</v>
      </c>
      <c r="H34" s="7">
        <v>398358478</v>
      </c>
      <c r="I34" s="9">
        <v>1.0409999999999999</v>
      </c>
    </row>
    <row r="35" spans="1:9" ht="15" x14ac:dyDescent="0.35">
      <c r="A35" s="4" t="s">
        <v>5</v>
      </c>
      <c r="B35" s="4"/>
      <c r="C35" s="5" t="s">
        <v>37</v>
      </c>
      <c r="D35" s="6">
        <v>395875139.80000001</v>
      </c>
      <c r="E35" s="6">
        <v>421088035.19999999</v>
      </c>
      <c r="F35" s="8" t="s">
        <v>39</v>
      </c>
      <c r="G35" s="12">
        <f>SUM($D$34:D35)</f>
        <v>778554441.60000002</v>
      </c>
      <c r="H35" s="6">
        <v>819446513.20000005</v>
      </c>
      <c r="I35" s="9">
        <v>1.0525</v>
      </c>
    </row>
    <row r="36" spans="1:9" ht="15" x14ac:dyDescent="0.35">
      <c r="A36" s="4" t="s">
        <v>7</v>
      </c>
      <c r="B36" s="4"/>
      <c r="C36" s="5" t="s">
        <v>37</v>
      </c>
      <c r="D36" s="6">
        <v>351889013.10000002</v>
      </c>
      <c r="E36" s="6">
        <v>467555462.69999999</v>
      </c>
      <c r="F36" s="8" t="s">
        <v>40</v>
      </c>
      <c r="G36" s="12">
        <f>SUM($D$34:D36)</f>
        <v>1130443454.7</v>
      </c>
      <c r="H36" s="6">
        <v>1287001975.9000001</v>
      </c>
      <c r="I36" s="9">
        <v>1.1384999999999998</v>
      </c>
    </row>
    <row r="37" spans="1:9" ht="15" x14ac:dyDescent="0.35">
      <c r="A37" s="4"/>
      <c r="B37" s="4"/>
      <c r="C37" s="5" t="s">
        <v>37</v>
      </c>
      <c r="D37" s="6"/>
      <c r="E37" s="6"/>
      <c r="F37" s="8"/>
      <c r="G37" s="6"/>
      <c r="H37" s="6"/>
      <c r="I37" s="9"/>
    </row>
    <row r="38" spans="1:9" ht="15" x14ac:dyDescent="0.35">
      <c r="A38" s="4" t="s">
        <v>2</v>
      </c>
      <c r="B38" s="4"/>
      <c r="C38" s="5" t="s">
        <v>41</v>
      </c>
      <c r="D38" s="6">
        <v>56950824.890000001</v>
      </c>
      <c r="E38" s="7">
        <v>33397000</v>
      </c>
      <c r="F38" s="8" t="s">
        <v>42</v>
      </c>
      <c r="G38" s="12">
        <f>SUM($D$38:D38)</f>
        <v>56950824.890000001</v>
      </c>
      <c r="H38" s="7">
        <v>33397000</v>
      </c>
      <c r="I38" s="9">
        <v>0.58640000000000003</v>
      </c>
    </row>
    <row r="39" spans="1:9" ht="15" x14ac:dyDescent="0.35">
      <c r="A39" s="4" t="s">
        <v>5</v>
      </c>
      <c r="B39" s="4"/>
      <c r="C39" s="5" t="s">
        <v>41</v>
      </c>
      <c r="D39" s="6">
        <v>58914646.439999998</v>
      </c>
      <c r="E39" s="7">
        <v>49400000</v>
      </c>
      <c r="F39" s="8" t="s">
        <v>43</v>
      </c>
      <c r="G39" s="12">
        <f>SUM($D$38:D39)</f>
        <v>115865471.33</v>
      </c>
      <c r="H39" s="7">
        <v>82797000</v>
      </c>
      <c r="I39" s="9">
        <v>0.7145999999999999</v>
      </c>
    </row>
    <row r="40" spans="1:9" ht="15" x14ac:dyDescent="0.35">
      <c r="A40" s="4" t="s">
        <v>7</v>
      </c>
      <c r="B40" s="4"/>
      <c r="C40" s="5" t="s">
        <v>41</v>
      </c>
      <c r="D40" s="6">
        <v>52368574.609999999</v>
      </c>
      <c r="E40" s="7">
        <v>34900000</v>
      </c>
      <c r="F40" s="8" t="s">
        <v>44</v>
      </c>
      <c r="G40" s="12">
        <f>SUM($D$38:D40)</f>
        <v>168234045.94</v>
      </c>
      <c r="H40" s="7">
        <v>117697000</v>
      </c>
      <c r="I40" s="9">
        <v>0.69959999999999989</v>
      </c>
    </row>
    <row r="41" spans="1:9" ht="15" x14ac:dyDescent="0.35">
      <c r="A41" s="4"/>
      <c r="B41" s="4"/>
      <c r="C41" s="5" t="s">
        <v>41</v>
      </c>
      <c r="D41" s="6"/>
      <c r="E41" s="7"/>
      <c r="F41" s="8"/>
      <c r="G41" s="6"/>
      <c r="H41" s="7"/>
      <c r="I41" s="9"/>
    </row>
    <row r="42" spans="1:9" ht="15" x14ac:dyDescent="0.35">
      <c r="A42" s="4" t="s">
        <v>2</v>
      </c>
      <c r="B42" s="4"/>
      <c r="C42" s="5" t="s">
        <v>45</v>
      </c>
      <c r="D42" s="6">
        <v>239832428.40000001</v>
      </c>
      <c r="E42" s="7">
        <v>190798318</v>
      </c>
      <c r="F42" s="8" t="s">
        <v>46</v>
      </c>
      <c r="G42" s="12">
        <f>SUM($D$42:D42)</f>
        <v>239832428.40000001</v>
      </c>
      <c r="H42" s="7">
        <v>190798318</v>
      </c>
      <c r="I42" s="9">
        <v>0.79549999999999998</v>
      </c>
    </row>
    <row r="43" spans="1:9" ht="15" x14ac:dyDescent="0.35">
      <c r="A43" s="4" t="s">
        <v>5</v>
      </c>
      <c r="B43" s="4"/>
      <c r="C43" s="5" t="s">
        <v>45</v>
      </c>
      <c r="D43" s="6">
        <v>248102512.19999999</v>
      </c>
      <c r="E43" s="7">
        <v>213654149</v>
      </c>
      <c r="F43" s="8" t="s">
        <v>47</v>
      </c>
      <c r="G43" s="12">
        <f>SUM($D$42:D43)</f>
        <v>487934940.60000002</v>
      </c>
      <c r="H43" s="7">
        <v>404452467</v>
      </c>
      <c r="I43" s="9">
        <v>0.82889999999999997</v>
      </c>
    </row>
    <row r="44" spans="1:9" ht="15" x14ac:dyDescent="0.35">
      <c r="A44" s="4" t="s">
        <v>7</v>
      </c>
      <c r="B44" s="4"/>
      <c r="C44" s="5" t="s">
        <v>45</v>
      </c>
      <c r="D44" s="6">
        <v>220535566.40000001</v>
      </c>
      <c r="E44" s="7">
        <v>133895325</v>
      </c>
      <c r="F44" s="8" t="s">
        <v>48</v>
      </c>
      <c r="G44" s="12">
        <f>SUM($D$42:D44)</f>
        <v>708470507</v>
      </c>
      <c r="H44" s="7">
        <v>538347792</v>
      </c>
      <c r="I44" s="9">
        <v>0.75989999999999991</v>
      </c>
    </row>
    <row r="45" spans="1:9" ht="15" x14ac:dyDescent="0.35">
      <c r="A45" s="4"/>
      <c r="B45" s="4"/>
      <c r="C45" s="5" t="s">
        <v>45</v>
      </c>
      <c r="D45" s="6"/>
      <c r="E45" s="7"/>
      <c r="F45" s="8"/>
      <c r="G45" s="7"/>
      <c r="H45" s="7"/>
      <c r="I45" s="9"/>
    </row>
    <row r="46" spans="1:9" ht="15" x14ac:dyDescent="0.35">
      <c r="A46" s="4" t="s">
        <v>2</v>
      </c>
      <c r="B46" s="4"/>
      <c r="C46" s="5" t="s">
        <v>49</v>
      </c>
      <c r="D46" s="6">
        <v>112318903.8</v>
      </c>
      <c r="E46" s="7">
        <v>75262696</v>
      </c>
      <c r="F46" s="8" t="s">
        <v>50</v>
      </c>
      <c r="G46" s="12">
        <f>SUM($D$46:D46)</f>
        <v>112318903.8</v>
      </c>
      <c r="H46" s="7">
        <v>75262696</v>
      </c>
      <c r="I46" s="9">
        <v>0.67010000000000003</v>
      </c>
    </row>
    <row r="47" spans="1:9" ht="15" x14ac:dyDescent="0.35">
      <c r="A47" s="4" t="s">
        <v>5</v>
      </c>
      <c r="B47" s="4"/>
      <c r="C47" s="5" t="s">
        <v>49</v>
      </c>
      <c r="D47" s="6">
        <v>116191969.5</v>
      </c>
      <c r="E47" s="7">
        <v>66595773</v>
      </c>
      <c r="F47" s="8" t="s">
        <v>51</v>
      </c>
      <c r="G47" s="12">
        <f>SUM($D$46:D47)</f>
        <v>228510873.30000001</v>
      </c>
      <c r="H47" s="7">
        <v>141858469</v>
      </c>
      <c r="I47" s="9">
        <v>0.62080000000000002</v>
      </c>
    </row>
    <row r="48" spans="1:9" ht="15" x14ac:dyDescent="0.35">
      <c r="A48" s="4" t="s">
        <v>7</v>
      </c>
      <c r="B48" s="4"/>
      <c r="C48" s="5" t="s">
        <v>49</v>
      </c>
      <c r="D48" s="6">
        <v>103281750.59999999</v>
      </c>
      <c r="E48" s="7">
        <v>66891565</v>
      </c>
      <c r="F48" s="8" t="s">
        <v>52</v>
      </c>
      <c r="G48" s="12">
        <f>SUM($D$46:D48)</f>
        <v>331792623.89999998</v>
      </c>
      <c r="H48" s="7">
        <v>208750034</v>
      </c>
      <c r="I48" s="9">
        <v>0.62919999999999998</v>
      </c>
    </row>
    <row r="49" spans="1:9" ht="15" x14ac:dyDescent="0.35">
      <c r="A49" s="4"/>
      <c r="B49" s="4"/>
      <c r="C49" s="5" t="s">
        <v>49</v>
      </c>
      <c r="D49" s="6"/>
      <c r="E49" s="7"/>
      <c r="F49" s="8"/>
      <c r="G49" s="6"/>
      <c r="H49" s="7"/>
      <c r="I49" s="9"/>
    </row>
    <row r="50" spans="1:9" ht="15" x14ac:dyDescent="0.35">
      <c r="A50" s="4" t="s">
        <v>2</v>
      </c>
      <c r="B50" s="4"/>
      <c r="C50" s="5" t="s">
        <v>53</v>
      </c>
      <c r="D50" s="6">
        <v>50659472.340000004</v>
      </c>
      <c r="E50" s="7">
        <v>64629045</v>
      </c>
      <c r="F50" s="8" t="s">
        <v>54</v>
      </c>
      <c r="G50" s="12">
        <f>SUM($D$50:D50)</f>
        <v>50659472.340000004</v>
      </c>
      <c r="H50" s="7">
        <v>64629045</v>
      </c>
      <c r="I50" s="9">
        <v>1.2758</v>
      </c>
    </row>
    <row r="51" spans="1:9" ht="15" x14ac:dyDescent="0.35">
      <c r="A51" s="4" t="s">
        <v>5</v>
      </c>
      <c r="B51" s="4"/>
      <c r="C51" s="5" t="s">
        <v>53</v>
      </c>
      <c r="D51" s="6">
        <v>52406350.700000003</v>
      </c>
      <c r="E51" s="7">
        <v>44552482</v>
      </c>
      <c r="F51" s="8" t="s">
        <v>55</v>
      </c>
      <c r="G51" s="12">
        <f>SUM($D$50:D51)</f>
        <v>103065823.04000001</v>
      </c>
      <c r="H51" s="7">
        <v>109181527</v>
      </c>
      <c r="I51" s="9">
        <v>1.0593000000000001</v>
      </c>
    </row>
    <row r="52" spans="1:9" ht="15" x14ac:dyDescent="0.35">
      <c r="A52" s="4" t="s">
        <v>7</v>
      </c>
      <c r="B52" s="4"/>
      <c r="C52" s="5" t="s">
        <v>53</v>
      </c>
      <c r="D52" s="6">
        <v>46583422.840000004</v>
      </c>
      <c r="E52" s="7">
        <v>63985054</v>
      </c>
      <c r="F52" s="8" t="s">
        <v>56</v>
      </c>
      <c r="G52" s="12">
        <f>SUM($D$50:D52)</f>
        <v>149649245.88</v>
      </c>
      <c r="H52" s="7">
        <v>173166581</v>
      </c>
      <c r="I52" s="9">
        <v>1.1571</v>
      </c>
    </row>
    <row r="53" spans="1:9" ht="15" x14ac:dyDescent="0.35">
      <c r="A53" s="4"/>
      <c r="B53" s="4"/>
      <c r="C53" s="5" t="s">
        <v>53</v>
      </c>
      <c r="D53" s="6"/>
      <c r="E53" s="7"/>
      <c r="F53" s="8"/>
      <c r="G53" s="6"/>
      <c r="H53" s="7"/>
      <c r="I53" s="9"/>
    </row>
    <row r="54" spans="1:9" ht="15" x14ac:dyDescent="0.35">
      <c r="A54" s="4" t="s">
        <v>2</v>
      </c>
      <c r="B54" s="4"/>
      <c r="C54" s="5" t="s">
        <v>57</v>
      </c>
      <c r="D54" s="6">
        <v>146772543.5</v>
      </c>
      <c r="E54" s="7">
        <v>55270703</v>
      </c>
      <c r="F54" s="8" t="s">
        <v>58</v>
      </c>
      <c r="G54" s="12">
        <f>SUM($D$54:D54)</f>
        <v>146772543.5</v>
      </c>
      <c r="H54" s="7">
        <v>55270703</v>
      </c>
      <c r="I54" s="9">
        <v>0.37659999999999999</v>
      </c>
    </row>
    <row r="55" spans="1:9" ht="15" x14ac:dyDescent="0.35">
      <c r="A55" s="4" t="s">
        <v>5</v>
      </c>
      <c r="B55" s="4"/>
      <c r="C55" s="5" t="s">
        <v>57</v>
      </c>
      <c r="D55" s="6">
        <v>151833665.69999999</v>
      </c>
      <c r="E55" s="7">
        <v>82575675</v>
      </c>
      <c r="F55" s="8" t="s">
        <v>59</v>
      </c>
      <c r="G55" s="12">
        <f>SUM($D$54:D55)</f>
        <v>298606209.19999999</v>
      </c>
      <c r="H55" s="7">
        <v>137846378</v>
      </c>
      <c r="I55" s="9">
        <v>0.46159999999999995</v>
      </c>
    </row>
    <row r="56" spans="1:9" ht="15" x14ac:dyDescent="0.35">
      <c r="A56" s="4" t="s">
        <v>7</v>
      </c>
      <c r="B56" s="4"/>
      <c r="C56" s="5" t="s">
        <v>57</v>
      </c>
      <c r="D56" s="6">
        <v>134963258.40000001</v>
      </c>
      <c r="E56" s="7">
        <v>71736039</v>
      </c>
      <c r="F56" s="8" t="s">
        <v>60</v>
      </c>
      <c r="G56" s="12">
        <f>SUM($D$54:D56)</f>
        <v>433569467.60000002</v>
      </c>
      <c r="H56" s="7">
        <v>209582417</v>
      </c>
      <c r="I56" s="9">
        <v>0.48340000000000005</v>
      </c>
    </row>
    <row r="57" spans="1:9" ht="15" x14ac:dyDescent="0.35">
      <c r="A57" s="4"/>
      <c r="B57" s="4"/>
      <c r="C57" s="5" t="s">
        <v>57</v>
      </c>
      <c r="D57" s="6"/>
      <c r="E57" s="7"/>
      <c r="F57" s="8"/>
      <c r="G57" s="6"/>
      <c r="H57" s="7"/>
      <c r="I57" s="9"/>
    </row>
    <row r="58" spans="1:9" ht="15" x14ac:dyDescent="0.35">
      <c r="A58" s="4" t="s">
        <v>2</v>
      </c>
      <c r="B58" s="4"/>
      <c r="C58" s="5" t="s">
        <v>61</v>
      </c>
      <c r="D58" s="6">
        <v>194355989.69999999</v>
      </c>
      <c r="E58" s="7">
        <v>186319416</v>
      </c>
      <c r="F58" s="8" t="s">
        <v>62</v>
      </c>
      <c r="G58" s="12">
        <f>SUM($D$58:D58)</f>
        <v>194355989.69999999</v>
      </c>
      <c r="H58" s="7">
        <v>186319416</v>
      </c>
      <c r="I58" s="9">
        <v>0.9587</v>
      </c>
    </row>
    <row r="59" spans="1:9" ht="15" x14ac:dyDescent="0.35">
      <c r="A59" s="4" t="s">
        <v>5</v>
      </c>
      <c r="B59" s="4"/>
      <c r="C59" s="5" t="s">
        <v>61</v>
      </c>
      <c r="D59" s="6">
        <v>201057920.40000001</v>
      </c>
      <c r="E59" s="7">
        <v>119215153</v>
      </c>
      <c r="F59" s="8" t="s">
        <v>63</v>
      </c>
      <c r="G59" s="12">
        <f>SUM($D$58:D59)</f>
        <v>395413910.10000002</v>
      </c>
      <c r="H59" s="7">
        <v>305534569</v>
      </c>
      <c r="I59" s="9">
        <v>0.77269999999999994</v>
      </c>
    </row>
    <row r="60" spans="1:9" ht="15" x14ac:dyDescent="0.35">
      <c r="A60" s="4" t="s">
        <v>7</v>
      </c>
      <c r="B60" s="4"/>
      <c r="C60" s="5" t="s">
        <v>61</v>
      </c>
      <c r="D60" s="6">
        <v>178718151.5</v>
      </c>
      <c r="E60" s="7">
        <v>150463762</v>
      </c>
      <c r="F60" s="8" t="s">
        <v>64</v>
      </c>
      <c r="G60" s="12">
        <f>SUM($D$58:D60)</f>
        <v>574132061.60000002</v>
      </c>
      <c r="H60" s="7">
        <v>455998331</v>
      </c>
      <c r="I60" s="9">
        <v>0.79420000000000002</v>
      </c>
    </row>
    <row r="61" spans="1:9" ht="15" x14ac:dyDescent="0.35">
      <c r="A61" s="4"/>
      <c r="B61" s="4"/>
      <c r="C61" s="5" t="s">
        <v>61</v>
      </c>
      <c r="D61" s="6"/>
      <c r="E61" s="7"/>
      <c r="F61" s="8"/>
      <c r="G61" s="6"/>
      <c r="H61" s="7"/>
      <c r="I61" s="9"/>
    </row>
    <row r="62" spans="1:9" ht="15" x14ac:dyDescent="0.35">
      <c r="A62" s="4" t="s">
        <v>2</v>
      </c>
      <c r="B62" s="4"/>
      <c r="C62" s="5" t="s">
        <v>65</v>
      </c>
      <c r="D62" s="6">
        <v>85001231.180000007</v>
      </c>
      <c r="E62" s="7">
        <v>59300000</v>
      </c>
      <c r="F62" s="8" t="s">
        <v>66</v>
      </c>
      <c r="G62" s="6">
        <v>85001231.180000007</v>
      </c>
      <c r="H62" s="7">
        <v>59300000</v>
      </c>
      <c r="I62" s="9">
        <v>0.6976</v>
      </c>
    </row>
    <row r="63" spans="1:9" ht="15" x14ac:dyDescent="0.35">
      <c r="A63" s="4" t="s">
        <v>5</v>
      </c>
      <c r="B63" s="4"/>
      <c r="C63" s="5" t="s">
        <v>65</v>
      </c>
      <c r="D63" s="6">
        <v>87932308.120000005</v>
      </c>
      <c r="E63" s="7">
        <v>20666234</v>
      </c>
      <c r="F63" s="8" t="s">
        <v>67</v>
      </c>
      <c r="G63" s="6">
        <v>172933539.30000001</v>
      </c>
      <c r="H63" s="7">
        <v>79966234</v>
      </c>
      <c r="I63" s="9">
        <v>0.46240000000000003</v>
      </c>
    </row>
    <row r="64" spans="1:9" ht="15" x14ac:dyDescent="0.35">
      <c r="A64" s="4" t="s">
        <v>7</v>
      </c>
      <c r="B64" s="4"/>
      <c r="C64" s="5" t="s">
        <v>65</v>
      </c>
      <c r="D64" s="6">
        <v>78162051.659999996</v>
      </c>
      <c r="E64" s="7">
        <v>26276672</v>
      </c>
      <c r="F64" s="8" t="s">
        <v>68</v>
      </c>
      <c r="G64" s="6">
        <v>251095590.96000001</v>
      </c>
      <c r="H64" s="7">
        <v>106242906</v>
      </c>
      <c r="I64" s="9">
        <v>0.42310000000000003</v>
      </c>
    </row>
    <row r="65" spans="1:9" ht="15" x14ac:dyDescent="0.35">
      <c r="A65" s="4"/>
      <c r="B65" s="4"/>
      <c r="C65" s="5" t="s">
        <v>65</v>
      </c>
      <c r="D65" s="6"/>
      <c r="E65" s="7"/>
      <c r="F65" s="8"/>
      <c r="G65" s="6"/>
      <c r="H65" s="7"/>
      <c r="I65" s="9"/>
    </row>
    <row r="66" spans="1:9" ht="15" x14ac:dyDescent="0.35">
      <c r="A66" s="4" t="s">
        <v>2</v>
      </c>
      <c r="B66" s="4"/>
      <c r="C66" s="5" t="s">
        <v>69</v>
      </c>
      <c r="D66" s="6">
        <v>126453488.40000001</v>
      </c>
      <c r="E66" s="6">
        <v>164494802.40000001</v>
      </c>
      <c r="F66" s="8" t="s">
        <v>70</v>
      </c>
      <c r="G66" s="6">
        <v>126453488.40000001</v>
      </c>
      <c r="H66" s="6">
        <v>164494802.40000001</v>
      </c>
      <c r="I66" s="9">
        <v>1.3008000000000002</v>
      </c>
    </row>
    <row r="67" spans="1:9" ht="15" x14ac:dyDescent="0.35">
      <c r="A67" s="4" t="s">
        <v>5</v>
      </c>
      <c r="B67" s="4"/>
      <c r="C67" s="5" t="s">
        <v>69</v>
      </c>
      <c r="D67" s="6">
        <v>130813953.5</v>
      </c>
      <c r="E67" s="7">
        <v>128595936</v>
      </c>
      <c r="F67" s="8" t="s">
        <v>71</v>
      </c>
      <c r="G67" s="6">
        <v>257267441.90000001</v>
      </c>
      <c r="H67" s="6">
        <v>293090738.39999998</v>
      </c>
      <c r="I67" s="9">
        <v>1.1392</v>
      </c>
    </row>
    <row r="68" spans="1:9" ht="15" x14ac:dyDescent="0.35">
      <c r="A68" s="4" t="s">
        <v>7</v>
      </c>
      <c r="B68" s="4"/>
      <c r="C68" s="5" t="s">
        <v>69</v>
      </c>
      <c r="D68" s="6">
        <v>116279069.8</v>
      </c>
      <c r="E68" s="7">
        <v>109334072</v>
      </c>
      <c r="F68" s="8" t="s">
        <v>72</v>
      </c>
      <c r="G68" s="6">
        <v>373546511.69999999</v>
      </c>
      <c r="H68" s="6">
        <v>402424810.39999998</v>
      </c>
      <c r="I68" s="9">
        <v>1.0773000000000001</v>
      </c>
    </row>
    <row r="69" spans="1:9" ht="15" x14ac:dyDescent="0.35">
      <c r="A69" s="4"/>
      <c r="B69" s="4"/>
      <c r="C69" s="5" t="s">
        <v>69</v>
      </c>
      <c r="D69" s="6"/>
      <c r="E69" s="7"/>
      <c r="F69" s="8"/>
      <c r="G69" s="6"/>
      <c r="H69" s="6"/>
      <c r="I69" s="9"/>
    </row>
    <row r="70" spans="1:9" ht="15" x14ac:dyDescent="0.35">
      <c r="A70" s="4" t="s">
        <v>2</v>
      </c>
      <c r="B70" s="4"/>
      <c r="C70" s="5" t="s">
        <v>73</v>
      </c>
      <c r="D70" s="6">
        <v>172415033.59999999</v>
      </c>
      <c r="E70" s="7">
        <v>128280449</v>
      </c>
      <c r="F70" s="8" t="s">
        <v>74</v>
      </c>
      <c r="G70" s="6">
        <v>172415033.59999999</v>
      </c>
      <c r="H70" s="7">
        <v>128280449</v>
      </c>
      <c r="I70" s="9">
        <v>0.74400000000000011</v>
      </c>
    </row>
    <row r="71" spans="1:9" ht="15" x14ac:dyDescent="0.35">
      <c r="A71" s="4" t="s">
        <v>5</v>
      </c>
      <c r="B71" s="4"/>
      <c r="C71" s="5" t="s">
        <v>73</v>
      </c>
      <c r="D71" s="6">
        <v>178360379.59999999</v>
      </c>
      <c r="E71" s="7">
        <v>89761870</v>
      </c>
      <c r="F71" s="8" t="s">
        <v>75</v>
      </c>
      <c r="G71" s="6">
        <v>350775413.19999999</v>
      </c>
      <c r="H71" s="7">
        <v>218042319</v>
      </c>
      <c r="I71" s="9">
        <v>0.62159999999999993</v>
      </c>
    </row>
    <row r="72" spans="1:9" ht="15" x14ac:dyDescent="0.35">
      <c r="A72" s="4" t="s">
        <v>7</v>
      </c>
      <c r="B72" s="4"/>
      <c r="C72" s="5" t="s">
        <v>73</v>
      </c>
      <c r="D72" s="6">
        <v>158542559.59999999</v>
      </c>
      <c r="E72" s="7">
        <v>110338435</v>
      </c>
      <c r="F72" s="8" t="s">
        <v>76</v>
      </c>
      <c r="G72" s="6">
        <v>509317972.79999995</v>
      </c>
      <c r="H72" s="7">
        <v>328380754</v>
      </c>
      <c r="I72" s="9">
        <v>0.64469999999999994</v>
      </c>
    </row>
    <row r="73" spans="1:9" ht="15" x14ac:dyDescent="0.35">
      <c r="A73" s="4"/>
      <c r="B73" s="4"/>
      <c r="C73" s="5" t="s">
        <v>73</v>
      </c>
      <c r="D73" s="6"/>
      <c r="E73" s="7"/>
      <c r="F73" s="8"/>
      <c r="G73" s="6"/>
      <c r="H73" s="7"/>
      <c r="I73" s="9"/>
    </row>
    <row r="74" spans="1:9" ht="15" x14ac:dyDescent="0.35">
      <c r="A74" s="4" t="s">
        <v>2</v>
      </c>
      <c r="B74" s="4"/>
      <c r="C74" s="5" t="s">
        <v>77</v>
      </c>
      <c r="D74" s="6">
        <v>179058854.30000001</v>
      </c>
      <c r="E74" s="7">
        <v>116051018</v>
      </c>
      <c r="F74" s="8" t="s">
        <v>78</v>
      </c>
      <c r="G74" s="6">
        <v>179058854.30000001</v>
      </c>
      <c r="H74" s="7">
        <v>116051018</v>
      </c>
      <c r="I74" s="9">
        <v>0.64810000000000001</v>
      </c>
    </row>
    <row r="75" spans="1:9" ht="15" x14ac:dyDescent="0.35">
      <c r="A75" s="4" t="s">
        <v>5</v>
      </c>
      <c r="B75" s="4"/>
      <c r="C75" s="5" t="s">
        <v>77</v>
      </c>
      <c r="D75" s="6">
        <v>185233297.59999999</v>
      </c>
      <c r="E75" s="7">
        <v>169533474</v>
      </c>
      <c r="F75" s="8" t="s">
        <v>79</v>
      </c>
      <c r="G75" s="6">
        <v>364292151.89999998</v>
      </c>
      <c r="H75" s="7">
        <v>285584492</v>
      </c>
      <c r="I75" s="9">
        <v>0.78390000000000004</v>
      </c>
    </row>
    <row r="76" spans="1:9" ht="15" x14ac:dyDescent="0.35">
      <c r="A76" s="4" t="s">
        <v>7</v>
      </c>
      <c r="B76" s="4"/>
      <c r="C76" s="5" t="s">
        <v>77</v>
      </c>
      <c r="D76" s="6">
        <v>164651820.09999999</v>
      </c>
      <c r="E76" s="7">
        <v>135362778</v>
      </c>
      <c r="F76" s="8" t="s">
        <v>80</v>
      </c>
      <c r="G76" s="7">
        <v>528943972</v>
      </c>
      <c r="H76" s="7">
        <v>420947270</v>
      </c>
      <c r="I76" s="9">
        <v>0.79579999999999995</v>
      </c>
    </row>
    <row r="77" spans="1:9" ht="15" x14ac:dyDescent="0.35">
      <c r="A77" s="4"/>
      <c r="B77" s="4"/>
      <c r="C77" s="5" t="s">
        <v>77</v>
      </c>
      <c r="D77" s="6"/>
      <c r="E77" s="7"/>
      <c r="F77" s="8"/>
      <c r="G77" s="7"/>
      <c r="H77" s="7"/>
      <c r="I77" s="9"/>
    </row>
    <row r="78" spans="1:9" ht="15" x14ac:dyDescent="0.35">
      <c r="A78" s="4" t="s">
        <v>2</v>
      </c>
      <c r="B78" s="4"/>
      <c r="C78" s="5" t="s">
        <v>81</v>
      </c>
      <c r="D78" s="6">
        <v>36585750.060000002</v>
      </c>
      <c r="E78" s="7">
        <v>27279546</v>
      </c>
      <c r="F78" s="8" t="s">
        <v>82</v>
      </c>
      <c r="G78" s="6">
        <v>36585750.060000002</v>
      </c>
      <c r="H78" s="7">
        <v>27279546</v>
      </c>
      <c r="I78" s="9">
        <v>0.74560000000000004</v>
      </c>
    </row>
    <row r="79" spans="1:9" ht="15" x14ac:dyDescent="0.35">
      <c r="A79" s="4" t="s">
        <v>5</v>
      </c>
      <c r="B79" s="4"/>
      <c r="C79" s="5" t="s">
        <v>81</v>
      </c>
      <c r="D79" s="6">
        <v>37847327.649999999</v>
      </c>
      <c r="E79" s="7">
        <v>42874768</v>
      </c>
      <c r="F79" s="8" t="s">
        <v>83</v>
      </c>
      <c r="G79" s="6">
        <v>74433077.710000008</v>
      </c>
      <c r="H79" s="7">
        <v>70154314</v>
      </c>
      <c r="I79" s="9">
        <v>0.9425</v>
      </c>
    </row>
    <row r="80" spans="1:9" ht="15" x14ac:dyDescent="0.35">
      <c r="A80" s="4" t="s">
        <v>7</v>
      </c>
      <c r="B80" s="4"/>
      <c r="C80" s="5" t="s">
        <v>81</v>
      </c>
      <c r="D80" s="6">
        <v>33642069.020000003</v>
      </c>
      <c r="E80" s="7">
        <v>24905781</v>
      </c>
      <c r="F80" s="8" t="s">
        <v>84</v>
      </c>
      <c r="G80" s="6">
        <v>108075146.73000002</v>
      </c>
      <c r="H80" s="7">
        <v>95060095</v>
      </c>
      <c r="I80" s="9">
        <v>0.87959999999999994</v>
      </c>
    </row>
    <row r="81" spans="1:9" ht="15" x14ac:dyDescent="0.35">
      <c r="A81" s="4"/>
      <c r="B81" s="4"/>
      <c r="C81" s="5" t="s">
        <v>81</v>
      </c>
      <c r="D81" s="6"/>
      <c r="E81" s="7"/>
      <c r="F81" s="8"/>
      <c r="G81" s="6"/>
      <c r="H81" s="7"/>
      <c r="I81" s="9"/>
    </row>
    <row r="82" spans="1:9" ht="15" x14ac:dyDescent="0.35">
      <c r="A82" s="4" t="s">
        <v>2</v>
      </c>
      <c r="B82" s="4"/>
      <c r="C82" s="5" t="s">
        <v>85</v>
      </c>
      <c r="D82" s="6">
        <v>142639534.90000001</v>
      </c>
      <c r="E82" s="7">
        <v>64840983</v>
      </c>
      <c r="F82" s="8" t="s">
        <v>86</v>
      </c>
      <c r="G82" s="6">
        <v>142639534.90000001</v>
      </c>
      <c r="H82" s="7">
        <v>64840983</v>
      </c>
      <c r="I82" s="9">
        <v>0.4546</v>
      </c>
    </row>
    <row r="83" spans="1:9" ht="15" x14ac:dyDescent="0.35">
      <c r="A83" s="4" t="s">
        <v>5</v>
      </c>
      <c r="B83" s="4"/>
      <c r="C83" s="5" t="s">
        <v>85</v>
      </c>
      <c r="D83" s="6">
        <v>147558139.5</v>
      </c>
      <c r="E83" s="7">
        <v>88667273</v>
      </c>
      <c r="F83" s="8" t="s">
        <v>87</v>
      </c>
      <c r="G83" s="6">
        <v>290197674.39999998</v>
      </c>
      <c r="H83" s="7">
        <v>153508256</v>
      </c>
      <c r="I83" s="9">
        <v>0.52900000000000003</v>
      </c>
    </row>
    <row r="84" spans="1:9" ht="15" x14ac:dyDescent="0.35">
      <c r="A84" s="4" t="s">
        <v>7</v>
      </c>
      <c r="B84" s="4"/>
      <c r="C84" s="5" t="s">
        <v>85</v>
      </c>
      <c r="D84" s="6">
        <v>131162790.7</v>
      </c>
      <c r="E84" s="7">
        <v>23042467</v>
      </c>
      <c r="F84" s="8" t="s">
        <v>88</v>
      </c>
      <c r="G84" s="6">
        <v>421360465.09999996</v>
      </c>
      <c r="H84" s="7">
        <v>176550723</v>
      </c>
      <c r="I84" s="9">
        <v>0.41899999999999998</v>
      </c>
    </row>
    <row r="85" spans="1:9" ht="15" x14ac:dyDescent="0.35">
      <c r="A85" s="4"/>
      <c r="B85" s="4"/>
      <c r="C85" s="5" t="s">
        <v>85</v>
      </c>
      <c r="D85" s="6"/>
      <c r="E85" s="7"/>
      <c r="F85" s="8"/>
      <c r="G85" s="6"/>
      <c r="H85" s="7"/>
      <c r="I85" s="9"/>
    </row>
    <row r="86" spans="1:9" ht="15" x14ac:dyDescent="0.35">
      <c r="A86" s="4" t="s">
        <v>2</v>
      </c>
      <c r="B86" s="4"/>
      <c r="C86" s="5" t="s">
        <v>89</v>
      </c>
      <c r="D86" s="6">
        <v>148427851.59999999</v>
      </c>
      <c r="E86" s="7">
        <v>196532092</v>
      </c>
      <c r="F86" s="8" t="s">
        <v>90</v>
      </c>
      <c r="G86" s="6">
        <v>148427851.59999999</v>
      </c>
      <c r="H86" s="7">
        <v>196532092</v>
      </c>
      <c r="I86" s="9">
        <v>1.3241000000000001</v>
      </c>
    </row>
    <row r="87" spans="1:9" ht="15" x14ac:dyDescent="0.35">
      <c r="A87" s="4" t="s">
        <v>5</v>
      </c>
      <c r="B87" s="4"/>
      <c r="C87" s="5" t="s">
        <v>89</v>
      </c>
      <c r="D87" s="6">
        <v>153546053.40000001</v>
      </c>
      <c r="E87" s="7">
        <v>214200000</v>
      </c>
      <c r="F87" s="8" t="s">
        <v>91</v>
      </c>
      <c r="G87" s="7">
        <v>301973905</v>
      </c>
      <c r="H87" s="7">
        <v>410732092</v>
      </c>
      <c r="I87" s="9">
        <v>1.3602000000000001</v>
      </c>
    </row>
    <row r="88" spans="1:9" ht="15" x14ac:dyDescent="0.35">
      <c r="A88" s="4" t="s">
        <v>7</v>
      </c>
      <c r="B88" s="4"/>
      <c r="C88" s="5" t="s">
        <v>89</v>
      </c>
      <c r="D88" s="6">
        <v>136485380.80000001</v>
      </c>
      <c r="E88" s="7">
        <v>128691954</v>
      </c>
      <c r="F88" s="8" t="s">
        <v>92</v>
      </c>
      <c r="G88" s="6">
        <v>438459285.80000001</v>
      </c>
      <c r="H88" s="7">
        <v>539424046</v>
      </c>
      <c r="I88" s="9">
        <v>1.2302999999999999</v>
      </c>
    </row>
    <row r="89" spans="1:9" ht="15" x14ac:dyDescent="0.35">
      <c r="A89" s="4"/>
      <c r="B89" s="4"/>
      <c r="C89" s="5" t="s">
        <v>89</v>
      </c>
      <c r="D89" s="6"/>
      <c r="E89" s="7"/>
      <c r="F89" s="8"/>
      <c r="G89" s="6"/>
      <c r="H89" s="7"/>
      <c r="I89" s="9"/>
    </row>
    <row r="90" spans="1:9" ht="15" x14ac:dyDescent="0.35">
      <c r="A90" s="4" t="s">
        <v>2</v>
      </c>
      <c r="B90" s="4"/>
      <c r="C90" s="5" t="s">
        <v>93</v>
      </c>
      <c r="D90" s="6">
        <v>90979101.590000004</v>
      </c>
      <c r="E90" s="6">
        <v>72576801.030000001</v>
      </c>
      <c r="F90" s="8" t="s">
        <v>94</v>
      </c>
      <c r="G90" s="6">
        <v>90979101.590000004</v>
      </c>
      <c r="H90" s="6">
        <v>72576801.030000001</v>
      </c>
      <c r="I90" s="9">
        <v>0.79769999999999996</v>
      </c>
    </row>
    <row r="91" spans="1:9" ht="15" x14ac:dyDescent="0.35">
      <c r="A91" s="4" t="s">
        <v>5</v>
      </c>
      <c r="B91" s="4"/>
      <c r="C91" s="5" t="s">
        <v>93</v>
      </c>
      <c r="D91" s="6">
        <v>94116311.989999995</v>
      </c>
      <c r="E91" s="7">
        <v>70685148</v>
      </c>
      <c r="F91" s="8" t="s">
        <v>95</v>
      </c>
      <c r="G91" s="6">
        <v>185095413.57999998</v>
      </c>
      <c r="H91" s="6">
        <v>143261949.03</v>
      </c>
      <c r="I91" s="9">
        <v>0.77400000000000002</v>
      </c>
    </row>
    <row r="92" spans="1:9" ht="15" x14ac:dyDescent="0.35">
      <c r="A92" s="4" t="s">
        <v>7</v>
      </c>
      <c r="B92" s="4"/>
      <c r="C92" s="5" t="s">
        <v>93</v>
      </c>
      <c r="D92" s="6">
        <v>83658943.989999995</v>
      </c>
      <c r="E92" s="7">
        <v>79103542</v>
      </c>
      <c r="F92" s="8" t="s">
        <v>96</v>
      </c>
      <c r="G92" s="6">
        <v>268754357.56999999</v>
      </c>
      <c r="H92" s="6">
        <v>222365491.03</v>
      </c>
      <c r="I92" s="9">
        <v>0.82739999999999991</v>
      </c>
    </row>
    <row r="93" spans="1:9" ht="15" x14ac:dyDescent="0.35">
      <c r="A93" s="4"/>
      <c r="B93" s="4"/>
      <c r="C93" s="5" t="s">
        <v>93</v>
      </c>
      <c r="D93" s="6"/>
      <c r="E93" s="7"/>
      <c r="F93" s="8"/>
      <c r="G93" s="6"/>
      <c r="H93" s="6"/>
      <c r="I93" s="9"/>
    </row>
    <row r="94" spans="1:9" ht="15" x14ac:dyDescent="0.35">
      <c r="A94" s="4" t="s">
        <v>2</v>
      </c>
      <c r="B94" s="4"/>
      <c r="C94" s="5" t="s">
        <v>97</v>
      </c>
      <c r="D94" s="6">
        <v>161899612.40000001</v>
      </c>
      <c r="E94" s="7">
        <v>42567260</v>
      </c>
      <c r="F94" s="8" t="s">
        <v>98</v>
      </c>
      <c r="G94" s="6">
        <v>161899612.40000001</v>
      </c>
      <c r="H94" s="7">
        <v>42567260</v>
      </c>
      <c r="I94" s="9">
        <v>0.26289999999999997</v>
      </c>
    </row>
    <row r="95" spans="1:9" ht="15" x14ac:dyDescent="0.35">
      <c r="A95" s="4" t="s">
        <v>5</v>
      </c>
      <c r="B95" s="4"/>
      <c r="C95" s="5" t="s">
        <v>97</v>
      </c>
      <c r="D95" s="6">
        <v>167482357.69999999</v>
      </c>
      <c r="E95" s="7">
        <v>69248168</v>
      </c>
      <c r="F95" s="8" t="s">
        <v>99</v>
      </c>
      <c r="G95" s="6">
        <v>329381970.10000002</v>
      </c>
      <c r="H95" s="7">
        <v>111815428</v>
      </c>
      <c r="I95" s="9">
        <v>0.33950000000000002</v>
      </c>
    </row>
    <row r="96" spans="1:9" ht="15" x14ac:dyDescent="0.35">
      <c r="A96" s="4" t="s">
        <v>7</v>
      </c>
      <c r="B96" s="4"/>
      <c r="C96" s="5" t="s">
        <v>97</v>
      </c>
      <c r="D96" s="6">
        <v>148873206.80000001</v>
      </c>
      <c r="E96" s="7">
        <v>67966256</v>
      </c>
      <c r="F96" s="8" t="s">
        <v>100</v>
      </c>
      <c r="G96" s="6">
        <v>478255176.90000004</v>
      </c>
      <c r="H96" s="7">
        <v>179781684</v>
      </c>
      <c r="I96" s="9">
        <v>0.37590000000000001</v>
      </c>
    </row>
    <row r="97" spans="1:9" ht="15" x14ac:dyDescent="0.35">
      <c r="A97" s="4"/>
      <c r="B97" s="4"/>
      <c r="C97" s="5" t="s">
        <v>97</v>
      </c>
      <c r="D97" s="6"/>
      <c r="E97" s="7"/>
      <c r="F97" s="8"/>
      <c r="G97" s="6"/>
      <c r="H97" s="7"/>
      <c r="I97" s="9"/>
    </row>
    <row r="98" spans="1:9" ht="15" x14ac:dyDescent="0.35">
      <c r="A98" s="4" t="s">
        <v>2</v>
      </c>
      <c r="B98" s="4"/>
      <c r="C98" s="5" t="s">
        <v>101</v>
      </c>
      <c r="D98" s="6">
        <v>47007030.07</v>
      </c>
      <c r="E98" s="7">
        <v>38372581</v>
      </c>
      <c r="F98" s="8" t="s">
        <v>102</v>
      </c>
      <c r="G98" s="6">
        <v>47007030.07</v>
      </c>
      <c r="H98" s="7">
        <v>38372581</v>
      </c>
      <c r="I98" s="9">
        <v>0.81629999999999991</v>
      </c>
    </row>
    <row r="99" spans="1:9" ht="15" x14ac:dyDescent="0.35">
      <c r="A99" s="4" t="s">
        <v>5</v>
      </c>
      <c r="B99" s="4"/>
      <c r="C99" s="5" t="s">
        <v>101</v>
      </c>
      <c r="D99" s="6">
        <v>48627962.140000001</v>
      </c>
      <c r="E99" s="7">
        <v>49981918</v>
      </c>
      <c r="F99" s="8" t="s">
        <v>103</v>
      </c>
      <c r="G99" s="6">
        <v>95634992.210000008</v>
      </c>
      <c r="H99" s="7">
        <v>88354499</v>
      </c>
      <c r="I99" s="9">
        <v>0.92390000000000005</v>
      </c>
    </row>
    <row r="100" spans="1:9" ht="15" x14ac:dyDescent="0.35">
      <c r="A100" s="4" t="s">
        <v>7</v>
      </c>
      <c r="B100" s="4"/>
      <c r="C100" s="5" t="s">
        <v>101</v>
      </c>
      <c r="D100" s="6">
        <v>43224855.240000002</v>
      </c>
      <c r="E100" s="7">
        <v>25750093</v>
      </c>
      <c r="F100" s="8" t="s">
        <v>104</v>
      </c>
      <c r="G100" s="6">
        <v>138859847.45000002</v>
      </c>
      <c r="H100" s="7">
        <v>114104592</v>
      </c>
      <c r="I100" s="9">
        <v>0.82169999999999999</v>
      </c>
    </row>
    <row r="101" spans="1:9" ht="15" x14ac:dyDescent="0.35">
      <c r="A101" s="4"/>
      <c r="B101" s="4"/>
      <c r="C101" s="5" t="s">
        <v>101</v>
      </c>
      <c r="D101" s="6"/>
      <c r="E101" s="7"/>
      <c r="F101" s="8"/>
      <c r="G101" s="6"/>
      <c r="H101" s="7"/>
      <c r="I101" s="9"/>
    </row>
    <row r="102" spans="1:9" ht="15" x14ac:dyDescent="0.35">
      <c r="A102" s="4" t="s">
        <v>2</v>
      </c>
      <c r="B102" s="4"/>
      <c r="C102" s="5" t="s">
        <v>105</v>
      </c>
      <c r="D102" s="6">
        <v>144261323.30000001</v>
      </c>
      <c r="E102" s="7">
        <v>82300000</v>
      </c>
      <c r="F102" s="8" t="s">
        <v>106</v>
      </c>
      <c r="G102" s="6">
        <v>144261323.30000001</v>
      </c>
      <c r="H102" s="7">
        <v>82300000</v>
      </c>
      <c r="I102" s="9">
        <v>0.57050000000000001</v>
      </c>
    </row>
    <row r="103" spans="1:9" ht="15" x14ac:dyDescent="0.35">
      <c r="A103" s="4" t="s">
        <v>5</v>
      </c>
      <c r="B103" s="4"/>
      <c r="C103" s="5" t="s">
        <v>105</v>
      </c>
      <c r="D103" s="6">
        <v>149235851.69999999</v>
      </c>
      <c r="E103" s="7">
        <v>110887219</v>
      </c>
      <c r="F103" s="8" t="s">
        <v>107</v>
      </c>
      <c r="G103" s="7">
        <v>293497175</v>
      </c>
      <c r="H103" s="7">
        <v>193187219</v>
      </c>
      <c r="I103" s="9">
        <v>0.6581999999999999</v>
      </c>
    </row>
    <row r="104" spans="1:9" ht="15" x14ac:dyDescent="0.35">
      <c r="A104" s="4" t="s">
        <v>7</v>
      </c>
      <c r="B104" s="4"/>
      <c r="C104" s="5" t="s">
        <v>105</v>
      </c>
      <c r="D104" s="6">
        <v>132654090.40000001</v>
      </c>
      <c r="E104" s="7">
        <v>60000000</v>
      </c>
      <c r="F104" s="8" t="s">
        <v>108</v>
      </c>
      <c r="G104" s="6">
        <v>426151265.39999998</v>
      </c>
      <c r="H104" s="7">
        <v>253187219</v>
      </c>
      <c r="I104" s="9">
        <v>0.59409999999999996</v>
      </c>
    </row>
    <row r="105" spans="1:9" ht="15" x14ac:dyDescent="0.35">
      <c r="A105" s="4"/>
      <c r="B105" s="4"/>
      <c r="C105" s="5" t="s">
        <v>105</v>
      </c>
      <c r="D105" s="6"/>
      <c r="E105" s="7"/>
      <c r="F105" s="8"/>
      <c r="G105" s="6"/>
      <c r="H105" s="7"/>
      <c r="I105" s="9"/>
    </row>
    <row r="106" spans="1:9" ht="15" x14ac:dyDescent="0.35">
      <c r="A106" s="4" t="s">
        <v>2</v>
      </c>
      <c r="B106" s="4"/>
      <c r="C106" s="5" t="s">
        <v>109</v>
      </c>
      <c r="D106" s="6">
        <v>82938669.129999995</v>
      </c>
      <c r="E106" s="7">
        <v>62850870</v>
      </c>
      <c r="F106" s="8" t="s">
        <v>110</v>
      </c>
      <c r="G106" s="6">
        <v>82938669.129999995</v>
      </c>
      <c r="H106" s="7">
        <v>62850870</v>
      </c>
      <c r="I106" s="9">
        <v>0.75780000000000003</v>
      </c>
    </row>
    <row r="107" spans="1:9" ht="15" x14ac:dyDescent="0.35">
      <c r="A107" s="4" t="s">
        <v>5</v>
      </c>
      <c r="B107" s="4"/>
      <c r="C107" s="5" t="s">
        <v>109</v>
      </c>
      <c r="D107" s="6">
        <v>85798623.239999995</v>
      </c>
      <c r="E107" s="7">
        <v>67366362</v>
      </c>
      <c r="F107" s="8" t="s">
        <v>111</v>
      </c>
      <c r="G107" s="6">
        <v>168737292.37</v>
      </c>
      <c r="H107" s="7">
        <v>130217232</v>
      </c>
      <c r="I107" s="9">
        <v>0.77170000000000005</v>
      </c>
    </row>
    <row r="108" spans="1:9" ht="15" x14ac:dyDescent="0.35">
      <c r="A108" s="4" t="s">
        <v>7</v>
      </c>
      <c r="B108" s="4"/>
      <c r="C108" s="5" t="s">
        <v>109</v>
      </c>
      <c r="D108" s="6">
        <v>76265442.879999995</v>
      </c>
      <c r="E108" s="7">
        <v>83786939</v>
      </c>
      <c r="F108" s="8" t="s">
        <v>112</v>
      </c>
      <c r="G108" s="6">
        <v>245002735.25</v>
      </c>
      <c r="H108" s="7">
        <v>214004171</v>
      </c>
      <c r="I108" s="9">
        <v>0.87349999999999994</v>
      </c>
    </row>
    <row r="109" spans="1:9" ht="15" x14ac:dyDescent="0.35">
      <c r="A109" s="4"/>
      <c r="B109" s="4"/>
      <c r="C109" s="5" t="s">
        <v>109</v>
      </c>
      <c r="D109" s="6"/>
      <c r="E109" s="7"/>
      <c r="F109" s="8"/>
      <c r="G109" s="6"/>
      <c r="H109" s="7"/>
      <c r="I109" s="9"/>
    </row>
    <row r="110" spans="1:9" ht="15" x14ac:dyDescent="0.35">
      <c r="A110" s="4" t="s">
        <v>2</v>
      </c>
      <c r="B110" s="4"/>
      <c r="C110" s="5" t="s">
        <v>113</v>
      </c>
      <c r="D110" s="6">
        <v>36159253.899999999</v>
      </c>
      <c r="E110" s="6">
        <v>29661718.199999999</v>
      </c>
      <c r="F110" s="8" t="s">
        <v>114</v>
      </c>
      <c r="G110" s="6">
        <v>36159253.899999999</v>
      </c>
      <c r="H110" s="6">
        <v>29661718.199999999</v>
      </c>
      <c r="I110" s="9">
        <v>0.82030000000000003</v>
      </c>
    </row>
    <row r="111" spans="1:9" ht="15" x14ac:dyDescent="0.35">
      <c r="A111" s="4" t="s">
        <v>5</v>
      </c>
      <c r="B111" s="4"/>
      <c r="C111" s="5" t="s">
        <v>113</v>
      </c>
      <c r="D111" s="6">
        <v>37406124.719999999</v>
      </c>
      <c r="E111" s="7">
        <v>41231091</v>
      </c>
      <c r="F111" s="8" t="s">
        <v>115</v>
      </c>
      <c r="G111" s="6">
        <v>73565378.620000005</v>
      </c>
      <c r="H111" s="6">
        <v>70892809.200000003</v>
      </c>
      <c r="I111" s="9">
        <v>0.9637</v>
      </c>
    </row>
    <row r="112" spans="1:9" ht="15" x14ac:dyDescent="0.35">
      <c r="A112" s="4" t="s">
        <v>7</v>
      </c>
      <c r="B112" s="4"/>
      <c r="C112" s="5" t="s">
        <v>113</v>
      </c>
      <c r="D112" s="6">
        <v>33249888.640000001</v>
      </c>
      <c r="E112" s="7">
        <v>27295327</v>
      </c>
      <c r="F112" s="8" t="s">
        <v>116</v>
      </c>
      <c r="G112" s="6">
        <v>106815267.26000001</v>
      </c>
      <c r="H112" s="6">
        <v>98188136.200000003</v>
      </c>
      <c r="I112" s="9">
        <v>0.91920000000000002</v>
      </c>
    </row>
    <row r="113" spans="1:9" ht="15" x14ac:dyDescent="0.35">
      <c r="A113" s="4"/>
      <c r="B113" s="4"/>
      <c r="C113" s="5" t="s">
        <v>113</v>
      </c>
      <c r="D113" s="6"/>
      <c r="E113" s="7"/>
      <c r="F113" s="8"/>
      <c r="G113" s="6"/>
      <c r="H113" s="6"/>
      <c r="I113" s="9"/>
    </row>
    <row r="114" spans="1:9" ht="15" x14ac:dyDescent="0.35">
      <c r="A114" s="4" t="s">
        <v>2</v>
      </c>
      <c r="B114" s="4"/>
      <c r="C114" s="5" t="s">
        <v>117</v>
      </c>
      <c r="D114" s="6">
        <v>47625810.149999999</v>
      </c>
      <c r="E114" s="7">
        <v>39038694</v>
      </c>
      <c r="F114" s="8" t="s">
        <v>118</v>
      </c>
      <c r="G114" s="6">
        <v>47625810.149999999</v>
      </c>
      <c r="H114" s="7">
        <v>39038694</v>
      </c>
      <c r="I114" s="9">
        <v>0.81969999999999998</v>
      </c>
    </row>
    <row r="115" spans="1:9" ht="15" x14ac:dyDescent="0.35">
      <c r="A115" s="4" t="s">
        <v>5</v>
      </c>
      <c r="B115" s="4"/>
      <c r="C115" s="5" t="s">
        <v>117</v>
      </c>
      <c r="D115" s="6">
        <v>49268079.469999999</v>
      </c>
      <c r="E115" s="6">
        <v>23035103.07</v>
      </c>
      <c r="F115" s="8" t="s">
        <v>119</v>
      </c>
      <c r="G115" s="6">
        <v>96893889.620000005</v>
      </c>
      <c r="H115" s="6">
        <v>62073797.07</v>
      </c>
      <c r="I115" s="9">
        <v>0.64060000000000006</v>
      </c>
    </row>
    <row r="116" spans="1:9" ht="15" x14ac:dyDescent="0.35">
      <c r="A116" s="4" t="s">
        <v>7</v>
      </c>
      <c r="B116" s="4"/>
      <c r="C116" s="5" t="s">
        <v>117</v>
      </c>
      <c r="D116" s="6">
        <v>43793848.420000002</v>
      </c>
      <c r="E116" s="7">
        <v>20856784</v>
      </c>
      <c r="F116" s="8" t="s">
        <v>120</v>
      </c>
      <c r="G116" s="6">
        <v>140687738.04000002</v>
      </c>
      <c r="H116" s="6">
        <v>82930581.069999993</v>
      </c>
      <c r="I116" s="9">
        <v>0.58950000000000002</v>
      </c>
    </row>
    <row r="117" spans="1:9" ht="15" x14ac:dyDescent="0.35">
      <c r="A117" s="4"/>
      <c r="B117" s="4"/>
      <c r="C117" s="5" t="s">
        <v>117</v>
      </c>
      <c r="D117" s="6"/>
      <c r="E117" s="7"/>
      <c r="F117" s="8"/>
      <c r="G117" s="6"/>
      <c r="H117" s="6"/>
      <c r="I117" s="9"/>
    </row>
    <row r="118" spans="1:9" ht="15" x14ac:dyDescent="0.35">
      <c r="A118" s="4" t="s">
        <v>2</v>
      </c>
      <c r="B118" s="4"/>
      <c r="C118" s="5" t="s">
        <v>121</v>
      </c>
      <c r="D118" s="6">
        <v>60566750.280000001</v>
      </c>
      <c r="E118" s="7">
        <v>48900000</v>
      </c>
      <c r="F118" s="8" t="s">
        <v>122</v>
      </c>
      <c r="G118" s="6">
        <v>60566750.280000001</v>
      </c>
      <c r="H118" s="7">
        <v>48900000</v>
      </c>
      <c r="I118" s="9">
        <v>0.8073999999999999</v>
      </c>
    </row>
    <row r="119" spans="1:9" ht="15" x14ac:dyDescent="0.35">
      <c r="A119" s="4" t="s">
        <v>5</v>
      </c>
      <c r="B119" s="4"/>
      <c r="C119" s="5" t="s">
        <v>121</v>
      </c>
      <c r="D119" s="6">
        <v>62655258.909999996</v>
      </c>
      <c r="E119" s="7">
        <v>21568450</v>
      </c>
      <c r="F119" s="8" t="s">
        <v>123</v>
      </c>
      <c r="G119" s="6">
        <v>123222009.19</v>
      </c>
      <c r="H119" s="7">
        <v>70468450</v>
      </c>
      <c r="I119" s="9">
        <v>0.57189999999999996</v>
      </c>
    </row>
    <row r="120" spans="1:9" ht="15" x14ac:dyDescent="0.35">
      <c r="A120" s="4" t="s">
        <v>7</v>
      </c>
      <c r="B120" s="4"/>
      <c r="C120" s="5" t="s">
        <v>121</v>
      </c>
      <c r="D120" s="6">
        <v>55693563.479999997</v>
      </c>
      <c r="E120" s="7">
        <v>48479011</v>
      </c>
      <c r="F120" s="8" t="s">
        <v>124</v>
      </c>
      <c r="G120" s="6">
        <v>178915572.66999999</v>
      </c>
      <c r="H120" s="7">
        <v>118947461</v>
      </c>
      <c r="I120" s="9">
        <v>0.66480000000000006</v>
      </c>
    </row>
    <row r="121" spans="1:9" ht="15" x14ac:dyDescent="0.35">
      <c r="A121" s="4"/>
      <c r="B121" s="4"/>
      <c r="C121" s="5" t="s">
        <v>121</v>
      </c>
      <c r="D121" s="6"/>
      <c r="E121" s="7"/>
      <c r="F121" s="8"/>
      <c r="G121" s="6"/>
      <c r="H121" s="7"/>
      <c r="I121" s="9"/>
    </row>
    <row r="122" spans="1:9" ht="15" x14ac:dyDescent="0.35">
      <c r="A122" s="4" t="s">
        <v>2</v>
      </c>
      <c r="B122" s="4"/>
      <c r="C122" s="5" t="s">
        <v>125</v>
      </c>
      <c r="D122" s="6">
        <v>90243916.519999996</v>
      </c>
      <c r="E122" s="7">
        <v>50258138</v>
      </c>
      <c r="F122" s="8" t="s">
        <v>126</v>
      </c>
      <c r="G122" s="6">
        <v>90243916.519999996</v>
      </c>
      <c r="H122" s="7">
        <v>50258138</v>
      </c>
      <c r="I122" s="9">
        <v>0.55689999999999995</v>
      </c>
    </row>
    <row r="123" spans="1:9" ht="15" x14ac:dyDescent="0.35">
      <c r="A123" s="4" t="s">
        <v>5</v>
      </c>
      <c r="B123" s="4"/>
      <c r="C123" s="5" t="s">
        <v>125</v>
      </c>
      <c r="D123" s="6">
        <v>93355775.709999993</v>
      </c>
      <c r="E123" s="7">
        <v>43326956</v>
      </c>
      <c r="F123" s="8" t="s">
        <v>127</v>
      </c>
      <c r="G123" s="6">
        <v>183599692.22999999</v>
      </c>
      <c r="H123" s="7">
        <v>93585094</v>
      </c>
      <c r="I123" s="9">
        <v>0.50970000000000004</v>
      </c>
    </row>
    <row r="124" spans="1:9" ht="15" x14ac:dyDescent="0.35">
      <c r="A124" s="4" t="s">
        <v>7</v>
      </c>
      <c r="B124" s="4"/>
      <c r="C124" s="5" t="s">
        <v>125</v>
      </c>
      <c r="D124" s="6">
        <v>82982911.75</v>
      </c>
      <c r="E124" s="7">
        <v>62542462</v>
      </c>
      <c r="F124" s="8" t="s">
        <v>128</v>
      </c>
      <c r="G124" s="6">
        <v>266582603.97999999</v>
      </c>
      <c r="H124" s="7">
        <v>156127556</v>
      </c>
      <c r="I124" s="9">
        <v>0.5857</v>
      </c>
    </row>
    <row r="125" spans="1:9" ht="15" x14ac:dyDescent="0.35">
      <c r="A125" s="4"/>
      <c r="B125" s="4"/>
      <c r="C125" s="5" t="s">
        <v>125</v>
      </c>
      <c r="D125" s="6"/>
      <c r="E125" s="7"/>
      <c r="F125" s="8"/>
      <c r="G125" s="6"/>
      <c r="H125" s="7"/>
      <c r="I125" s="9"/>
    </row>
    <row r="126" spans="1:9" ht="15" x14ac:dyDescent="0.35">
      <c r="A126" s="4" t="s">
        <v>2</v>
      </c>
      <c r="B126" s="4"/>
      <c r="C126" s="5" t="s">
        <v>129</v>
      </c>
      <c r="D126" s="6">
        <v>125630700.40000001</v>
      </c>
      <c r="E126" s="7">
        <v>90621286</v>
      </c>
      <c r="F126" s="8" t="s">
        <v>130</v>
      </c>
      <c r="G126" s="6">
        <v>125630700.40000001</v>
      </c>
      <c r="H126" s="7">
        <v>90621286</v>
      </c>
      <c r="I126" s="9">
        <v>0.72129999999999994</v>
      </c>
    </row>
    <row r="127" spans="1:9" ht="15" x14ac:dyDescent="0.35">
      <c r="A127" s="4" t="s">
        <v>5</v>
      </c>
      <c r="B127" s="4"/>
      <c r="C127" s="5" t="s">
        <v>129</v>
      </c>
      <c r="D127" s="6">
        <v>129962793.5</v>
      </c>
      <c r="E127" s="7">
        <v>56865718</v>
      </c>
      <c r="F127" s="8" t="s">
        <v>131</v>
      </c>
      <c r="G127" s="6">
        <v>255593493.90000001</v>
      </c>
      <c r="H127" s="7">
        <v>147487004</v>
      </c>
      <c r="I127" s="9">
        <v>0.57700000000000007</v>
      </c>
    </row>
    <row r="128" spans="1:9" ht="15" x14ac:dyDescent="0.35">
      <c r="A128" s="4" t="s">
        <v>7</v>
      </c>
      <c r="B128" s="4"/>
      <c r="C128" s="5" t="s">
        <v>129</v>
      </c>
      <c r="D128" s="6">
        <v>115522483.09999999</v>
      </c>
      <c r="E128" s="7">
        <v>45312960</v>
      </c>
      <c r="F128" s="8" t="s">
        <v>132</v>
      </c>
      <c r="G128" s="7">
        <v>371115977</v>
      </c>
      <c r="H128" s="7">
        <v>192799964</v>
      </c>
      <c r="I128" s="9">
        <v>0.51950000000000007</v>
      </c>
    </row>
    <row r="129" spans="1:9" ht="15" x14ac:dyDescent="0.35">
      <c r="A129" s="4"/>
      <c r="B129" s="4"/>
      <c r="C129" s="5" t="s">
        <v>129</v>
      </c>
      <c r="D129" s="6"/>
      <c r="E129" s="7"/>
      <c r="F129" s="8"/>
      <c r="G129" s="7"/>
      <c r="H129" s="7"/>
      <c r="I129" s="9"/>
    </row>
    <row r="130" spans="1:9" ht="15" x14ac:dyDescent="0.35">
      <c r="A130" s="4" t="s">
        <v>2</v>
      </c>
      <c r="B130" s="4"/>
      <c r="C130" s="5" t="s">
        <v>133</v>
      </c>
      <c r="D130" s="6">
        <v>40465116.280000001</v>
      </c>
      <c r="E130" s="7">
        <v>31900000</v>
      </c>
      <c r="F130" s="8" t="s">
        <v>134</v>
      </c>
      <c r="G130" s="6">
        <v>40465116.280000001</v>
      </c>
      <c r="H130" s="7">
        <v>31900000</v>
      </c>
      <c r="I130" s="9">
        <v>0.7883</v>
      </c>
    </row>
    <row r="131" spans="1:9" ht="15" x14ac:dyDescent="0.35">
      <c r="A131" s="4" t="s">
        <v>5</v>
      </c>
      <c r="B131" s="4"/>
      <c r="C131" s="5" t="s">
        <v>133</v>
      </c>
      <c r="D131" s="6">
        <v>41860465.119999997</v>
      </c>
      <c r="E131" s="7">
        <v>41537852</v>
      </c>
      <c r="F131" s="8" t="s">
        <v>135</v>
      </c>
      <c r="G131" s="6">
        <v>82325581.400000006</v>
      </c>
      <c r="H131" s="7">
        <v>73437852</v>
      </c>
      <c r="I131" s="9">
        <v>0.89200000000000002</v>
      </c>
    </row>
    <row r="132" spans="1:9" ht="15" x14ac:dyDescent="0.35">
      <c r="A132" s="4" t="s">
        <v>7</v>
      </c>
      <c r="B132" s="4"/>
      <c r="C132" s="5" t="s">
        <v>133</v>
      </c>
      <c r="D132" s="6">
        <v>37209302.329999998</v>
      </c>
      <c r="E132" s="7">
        <v>28600000</v>
      </c>
      <c r="F132" s="8" t="s">
        <v>136</v>
      </c>
      <c r="G132" s="6">
        <v>119534883.73</v>
      </c>
      <c r="H132" s="7">
        <v>102037852</v>
      </c>
      <c r="I132" s="9">
        <v>0.85360000000000003</v>
      </c>
    </row>
    <row r="133" spans="1:9" ht="15" x14ac:dyDescent="0.35">
      <c r="A133" s="4"/>
      <c r="B133" s="4"/>
      <c r="C133" s="5" t="s">
        <v>133</v>
      </c>
      <c r="D133" s="6"/>
      <c r="E133" s="7"/>
      <c r="F133" s="8"/>
      <c r="G133" s="6"/>
      <c r="H133" s="7"/>
      <c r="I133" s="9"/>
    </row>
    <row r="134" spans="1:9" ht="15" x14ac:dyDescent="0.35">
      <c r="A134" s="4" t="s">
        <v>2</v>
      </c>
      <c r="B134" s="4"/>
      <c r="C134" s="5" t="s">
        <v>137</v>
      </c>
      <c r="D134" s="6">
        <v>45489550.789999999</v>
      </c>
      <c r="E134" s="7">
        <v>20234582</v>
      </c>
      <c r="F134" s="8" t="s">
        <v>138</v>
      </c>
      <c r="G134" s="6">
        <v>45489550.789999999</v>
      </c>
      <c r="H134" s="7">
        <v>20234582</v>
      </c>
      <c r="I134" s="9">
        <v>0.44479999999999997</v>
      </c>
    </row>
    <row r="135" spans="1:9" ht="15" x14ac:dyDescent="0.35">
      <c r="A135" s="4" t="s">
        <v>5</v>
      </c>
      <c r="B135" s="4"/>
      <c r="C135" s="5" t="s">
        <v>137</v>
      </c>
      <c r="D135" s="6">
        <v>47058155.990000002</v>
      </c>
      <c r="E135" s="7">
        <v>50697650</v>
      </c>
      <c r="F135" s="8" t="s">
        <v>139</v>
      </c>
      <c r="G135" s="6">
        <v>92547706.780000001</v>
      </c>
      <c r="H135" s="7">
        <v>70932232</v>
      </c>
      <c r="I135" s="9">
        <v>0.76639999999999997</v>
      </c>
    </row>
    <row r="136" spans="1:9" ht="15" x14ac:dyDescent="0.35">
      <c r="A136" s="4" t="s">
        <v>7</v>
      </c>
      <c r="B136" s="4"/>
      <c r="C136" s="5" t="s">
        <v>137</v>
      </c>
      <c r="D136" s="6">
        <v>41829471.990000002</v>
      </c>
      <c r="E136" s="7">
        <v>43511921</v>
      </c>
      <c r="F136" s="8" t="s">
        <v>140</v>
      </c>
      <c r="G136" s="6">
        <v>134377178.77000001</v>
      </c>
      <c r="H136" s="7">
        <v>114444153</v>
      </c>
      <c r="I136" s="9">
        <v>0.85170000000000001</v>
      </c>
    </row>
    <row r="137" spans="1:9" ht="15" x14ac:dyDescent="0.35">
      <c r="A137" s="4"/>
      <c r="B137" s="4"/>
      <c r="C137" s="5" t="s">
        <v>137</v>
      </c>
      <c r="D137" s="6"/>
      <c r="E137" s="7"/>
      <c r="F137" s="8"/>
      <c r="G137" s="6"/>
      <c r="H137" s="7"/>
      <c r="I137" s="9"/>
    </row>
    <row r="138" spans="1:9" ht="15" x14ac:dyDescent="0.35">
      <c r="A138" s="4" t="s">
        <v>2</v>
      </c>
      <c r="B138" s="4"/>
      <c r="C138" s="5" t="s">
        <v>141</v>
      </c>
      <c r="D138" s="6">
        <v>113951828.3</v>
      </c>
      <c r="E138" s="7">
        <v>62662712</v>
      </c>
      <c r="F138" s="8" t="s">
        <v>142</v>
      </c>
      <c r="G138" s="6">
        <v>113951828.3</v>
      </c>
      <c r="H138" s="7">
        <v>62662712</v>
      </c>
      <c r="I138" s="9">
        <v>0.54990000000000006</v>
      </c>
    </row>
    <row r="139" spans="1:9" ht="15" x14ac:dyDescent="0.35">
      <c r="A139" s="4" t="s">
        <v>5</v>
      </c>
      <c r="B139" s="4"/>
      <c r="C139" s="5" t="s">
        <v>141</v>
      </c>
      <c r="D139" s="6">
        <v>117881201.7</v>
      </c>
      <c r="E139" s="6">
        <v>66300634.549999997</v>
      </c>
      <c r="F139" s="8" t="s">
        <v>143</v>
      </c>
      <c r="G139" s="7">
        <v>231833030</v>
      </c>
      <c r="H139" s="6">
        <v>128963346.55</v>
      </c>
      <c r="I139" s="9">
        <v>0.55630000000000002</v>
      </c>
    </row>
    <row r="140" spans="1:9" ht="15" x14ac:dyDescent="0.35">
      <c r="A140" s="4" t="s">
        <v>7</v>
      </c>
      <c r="B140" s="4"/>
      <c r="C140" s="5" t="s">
        <v>141</v>
      </c>
      <c r="D140" s="6">
        <v>104783290.40000001</v>
      </c>
      <c r="E140" s="7">
        <v>101968083</v>
      </c>
      <c r="F140" s="8" t="s">
        <v>144</v>
      </c>
      <c r="G140" s="6">
        <v>336616320.39999998</v>
      </c>
      <c r="H140" s="6">
        <v>230931429.55000001</v>
      </c>
      <c r="I140" s="9">
        <v>0.68599999999999994</v>
      </c>
    </row>
    <row r="141" spans="1:9" ht="15" x14ac:dyDescent="0.35">
      <c r="A141" s="4"/>
      <c r="B141" s="4"/>
      <c r="C141" s="5" t="s">
        <v>141</v>
      </c>
      <c r="D141" s="6"/>
      <c r="E141" s="7"/>
      <c r="F141" s="8"/>
      <c r="G141" s="6"/>
      <c r="H141" s="6"/>
      <c r="I141" s="9"/>
    </row>
    <row r="142" spans="1:9" ht="15" x14ac:dyDescent="0.35">
      <c r="A142" s="4" t="s">
        <v>2</v>
      </c>
      <c r="B142" s="4"/>
      <c r="C142" s="5" t="s">
        <v>145</v>
      </c>
      <c r="D142" s="6">
        <v>40770150.969999999</v>
      </c>
      <c r="E142" s="7">
        <v>11466624</v>
      </c>
      <c r="F142" s="8" t="s">
        <v>146</v>
      </c>
      <c r="G142" s="6">
        <v>40770150.969999999</v>
      </c>
      <c r="H142" s="7">
        <v>11466624</v>
      </c>
      <c r="I142" s="9">
        <v>0.28129999999999999</v>
      </c>
    </row>
    <row r="143" spans="1:9" ht="15" x14ac:dyDescent="0.35">
      <c r="A143" s="4" t="s">
        <v>5</v>
      </c>
      <c r="B143" s="4"/>
      <c r="C143" s="5" t="s">
        <v>145</v>
      </c>
      <c r="D143" s="6">
        <v>42176018.240000002</v>
      </c>
      <c r="E143" s="7">
        <v>63138168</v>
      </c>
      <c r="F143" s="8" t="s">
        <v>147</v>
      </c>
      <c r="G143" s="6">
        <v>82946169.210000008</v>
      </c>
      <c r="H143" s="7">
        <v>74604792</v>
      </c>
      <c r="I143" s="9">
        <v>0.89939999999999998</v>
      </c>
    </row>
    <row r="144" spans="1:9" ht="15" x14ac:dyDescent="0.35">
      <c r="A144" s="4" t="s">
        <v>7</v>
      </c>
      <c r="B144" s="4"/>
      <c r="C144" s="5" t="s">
        <v>145</v>
      </c>
      <c r="D144" s="6">
        <v>37489793.990000002</v>
      </c>
      <c r="E144" s="7">
        <v>16748896</v>
      </c>
      <c r="F144" s="8" t="s">
        <v>148</v>
      </c>
      <c r="G144" s="6">
        <v>120435963.20000002</v>
      </c>
      <c r="H144" s="7">
        <v>91353688</v>
      </c>
      <c r="I144" s="9">
        <v>0.75849999999999995</v>
      </c>
    </row>
    <row r="145" spans="1:9" ht="15" x14ac:dyDescent="0.35">
      <c r="A145" s="4"/>
      <c r="B145" s="4"/>
      <c r="C145" s="5" t="s">
        <v>145</v>
      </c>
      <c r="D145" s="6"/>
      <c r="E145" s="7"/>
      <c r="F145" s="8"/>
      <c r="G145" s="6"/>
      <c r="H145" s="7"/>
      <c r="I145" s="9"/>
    </row>
    <row r="146" spans="1:9" ht="15" x14ac:dyDescent="0.35">
      <c r="A146" s="4" t="s">
        <v>2</v>
      </c>
      <c r="B146" s="4"/>
      <c r="C146" s="5" t="s">
        <v>149</v>
      </c>
      <c r="D146" s="6">
        <v>152537100.59999999</v>
      </c>
      <c r="E146" s="7">
        <v>153232745</v>
      </c>
      <c r="F146" s="8" t="s">
        <v>150</v>
      </c>
      <c r="G146" s="6">
        <v>152537100.59999999</v>
      </c>
      <c r="H146" s="7">
        <v>153232745</v>
      </c>
      <c r="I146" s="9">
        <v>1.0045999999999999</v>
      </c>
    </row>
    <row r="147" spans="1:9" ht="15" x14ac:dyDescent="0.35">
      <c r="A147" s="4" t="s">
        <v>5</v>
      </c>
      <c r="B147" s="4"/>
      <c r="C147" s="5" t="s">
        <v>149</v>
      </c>
      <c r="D147" s="6">
        <v>157797000.59999999</v>
      </c>
      <c r="E147" s="7">
        <v>159350425</v>
      </c>
      <c r="F147" s="8" t="s">
        <v>151</v>
      </c>
      <c r="G147" s="6">
        <v>310334101.19999999</v>
      </c>
      <c r="H147" s="7">
        <v>312583170</v>
      </c>
      <c r="I147" s="9">
        <v>1.0072000000000001</v>
      </c>
    </row>
    <row r="148" spans="1:9" ht="15" x14ac:dyDescent="0.35">
      <c r="A148" s="4" t="s">
        <v>7</v>
      </c>
      <c r="B148" s="4"/>
      <c r="C148" s="5" t="s">
        <v>149</v>
      </c>
      <c r="D148" s="6">
        <v>140264000.5</v>
      </c>
      <c r="E148" s="7">
        <v>109196603</v>
      </c>
      <c r="F148" s="8" t="s">
        <v>152</v>
      </c>
      <c r="G148" s="6">
        <v>450598101.69999999</v>
      </c>
      <c r="H148" s="7">
        <v>421779773</v>
      </c>
      <c r="I148" s="9">
        <v>0.93599999999999994</v>
      </c>
    </row>
    <row r="149" spans="1:9" ht="15" x14ac:dyDescent="0.35">
      <c r="A149" s="10"/>
      <c r="B149" s="10"/>
      <c r="C149" s="5" t="s">
        <v>149</v>
      </c>
      <c r="D149" s="10"/>
      <c r="E149" s="10"/>
      <c r="F149" s="11"/>
      <c r="G149" s="10"/>
      <c r="H149" s="10"/>
      <c r="I149" s="11"/>
    </row>
  </sheetData>
  <autoFilter ref="A1:I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H39"/>
  <sheetViews>
    <sheetView topLeftCell="CD1" workbookViewId="0">
      <selection activeCell="CT14" sqref="CT14"/>
    </sheetView>
  </sheetViews>
  <sheetFormatPr defaultRowHeight="14.4" x14ac:dyDescent="0.3"/>
  <sheetData>
    <row r="1" spans="1:164" x14ac:dyDescent="0.3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179</v>
      </c>
      <c r="V1" t="s">
        <v>180</v>
      </c>
      <c r="W1" t="s">
        <v>181</v>
      </c>
      <c r="X1" t="s">
        <v>182</v>
      </c>
      <c r="Y1" t="s">
        <v>183</v>
      </c>
      <c r="Z1" t="s">
        <v>184</v>
      </c>
      <c r="AA1" t="s">
        <v>185</v>
      </c>
      <c r="AB1" t="s">
        <v>186</v>
      </c>
      <c r="AC1" t="s">
        <v>187</v>
      </c>
      <c r="AD1" t="s">
        <v>188</v>
      </c>
      <c r="AE1" t="s">
        <v>189</v>
      </c>
      <c r="AF1" t="s">
        <v>190</v>
      </c>
      <c r="AG1" t="s">
        <v>191</v>
      </c>
      <c r="AH1" t="s">
        <v>192</v>
      </c>
      <c r="AI1" t="s">
        <v>193</v>
      </c>
      <c r="AJ1" t="s">
        <v>194</v>
      </c>
      <c r="AK1" t="s">
        <v>195</v>
      </c>
      <c r="AL1" t="s">
        <v>196</v>
      </c>
      <c r="AM1" t="s">
        <v>197</v>
      </c>
      <c r="AN1" t="s">
        <v>198</v>
      </c>
      <c r="AO1" t="s">
        <v>199</v>
      </c>
      <c r="AP1" t="s">
        <v>200</v>
      </c>
      <c r="AQ1" t="s">
        <v>201</v>
      </c>
      <c r="AR1" t="s">
        <v>202</v>
      </c>
      <c r="AS1" t="s">
        <v>203</v>
      </c>
      <c r="AT1" t="s">
        <v>204</v>
      </c>
      <c r="AU1" t="s">
        <v>205</v>
      </c>
      <c r="AV1" t="s">
        <v>206</v>
      </c>
      <c r="AW1" t="s">
        <v>207</v>
      </c>
      <c r="AX1" t="s">
        <v>208</v>
      </c>
      <c r="AY1" t="s">
        <v>209</v>
      </c>
      <c r="AZ1" t="s">
        <v>210</v>
      </c>
      <c r="BA1" t="s">
        <v>211</v>
      </c>
      <c r="BB1" t="s">
        <v>212</v>
      </c>
      <c r="BC1" t="s">
        <v>213</v>
      </c>
      <c r="BD1" t="s">
        <v>214</v>
      </c>
      <c r="BE1" t="s">
        <v>215</v>
      </c>
      <c r="BF1" t="s">
        <v>216</v>
      </c>
      <c r="BG1" t="s">
        <v>217</v>
      </c>
      <c r="BH1" t="s">
        <v>218</v>
      </c>
      <c r="BI1" t="s">
        <v>219</v>
      </c>
      <c r="BJ1" t="s">
        <v>220</v>
      </c>
      <c r="BK1" t="s">
        <v>221</v>
      </c>
      <c r="BL1" t="s">
        <v>222</v>
      </c>
      <c r="BM1" t="s">
        <v>223</v>
      </c>
      <c r="BN1" t="s">
        <v>224</v>
      </c>
      <c r="BO1" t="s">
        <v>225</v>
      </c>
      <c r="BP1" t="s">
        <v>226</v>
      </c>
      <c r="BQ1" t="s">
        <v>227</v>
      </c>
      <c r="BR1" t="s">
        <v>228</v>
      </c>
      <c r="BS1" t="s">
        <v>229</v>
      </c>
      <c r="BT1" t="s">
        <v>230</v>
      </c>
      <c r="BU1" t="s">
        <v>231</v>
      </c>
      <c r="BV1" t="s">
        <v>232</v>
      </c>
      <c r="BW1" t="s">
        <v>233</v>
      </c>
      <c r="BX1" t="s">
        <v>234</v>
      </c>
      <c r="BY1" t="s">
        <v>235</v>
      </c>
      <c r="BZ1" t="s">
        <v>236</v>
      </c>
      <c r="CA1" t="s">
        <v>237</v>
      </c>
      <c r="CB1" t="s">
        <v>238</v>
      </c>
      <c r="CC1" t="s">
        <v>239</v>
      </c>
      <c r="CD1" t="s">
        <v>240</v>
      </c>
      <c r="CE1" t="s">
        <v>241</v>
      </c>
      <c r="CF1" t="s">
        <v>242</v>
      </c>
      <c r="CG1" t="s">
        <v>243</v>
      </c>
      <c r="CH1" t="s">
        <v>244</v>
      </c>
      <c r="CI1" t="s">
        <v>245</v>
      </c>
      <c r="CJ1" t="s">
        <v>246</v>
      </c>
      <c r="CK1" t="s">
        <v>247</v>
      </c>
      <c r="CL1" t="s">
        <v>248</v>
      </c>
      <c r="CM1" t="s">
        <v>249</v>
      </c>
      <c r="CN1" t="s">
        <v>250</v>
      </c>
      <c r="CO1" t="s">
        <v>251</v>
      </c>
      <c r="CP1" t="s">
        <v>252</v>
      </c>
      <c r="CQ1" t="s">
        <v>253</v>
      </c>
      <c r="CR1" t="s">
        <v>254</v>
      </c>
      <c r="CS1" t="s">
        <v>255</v>
      </c>
      <c r="CT1" t="s">
        <v>256</v>
      </c>
      <c r="CU1" t="s">
        <v>257</v>
      </c>
      <c r="CV1" t="s">
        <v>258</v>
      </c>
      <c r="CW1" t="s">
        <v>259</v>
      </c>
      <c r="CX1" t="s">
        <v>260</v>
      </c>
      <c r="CY1" t="s">
        <v>261</v>
      </c>
      <c r="CZ1" t="s">
        <v>262</v>
      </c>
      <c r="DA1" t="s">
        <v>263</v>
      </c>
      <c r="DB1" t="s">
        <v>264</v>
      </c>
      <c r="DC1" t="s">
        <v>265</v>
      </c>
      <c r="DD1" t="s">
        <v>266</v>
      </c>
      <c r="DE1" t="s">
        <v>267</v>
      </c>
      <c r="DF1" t="s">
        <v>268</v>
      </c>
      <c r="DG1" t="s">
        <v>269</v>
      </c>
      <c r="DH1" t="s">
        <v>270</v>
      </c>
      <c r="DI1" t="s">
        <v>271</v>
      </c>
      <c r="DJ1" t="s">
        <v>272</v>
      </c>
      <c r="DK1" t="s">
        <v>273</v>
      </c>
      <c r="DL1" t="s">
        <v>274</v>
      </c>
      <c r="DM1" t="s">
        <v>275</v>
      </c>
      <c r="DN1" t="s">
        <v>276</v>
      </c>
      <c r="DO1" t="s">
        <v>277</v>
      </c>
      <c r="DP1" t="s">
        <v>278</v>
      </c>
      <c r="DQ1" t="s">
        <v>279</v>
      </c>
      <c r="DR1" t="s">
        <v>280</v>
      </c>
      <c r="DS1" t="s">
        <v>281</v>
      </c>
      <c r="DT1" t="s">
        <v>282</v>
      </c>
      <c r="DU1" t="s">
        <v>283</v>
      </c>
      <c r="DV1" t="s">
        <v>284</v>
      </c>
      <c r="DW1" t="s">
        <v>285</v>
      </c>
      <c r="DX1" t="s">
        <v>286</v>
      </c>
      <c r="DY1" t="s">
        <v>287</v>
      </c>
      <c r="DZ1" t="s">
        <v>288</v>
      </c>
      <c r="EA1" t="s">
        <v>289</v>
      </c>
      <c r="EB1" t="s">
        <v>290</v>
      </c>
      <c r="EC1" t="s">
        <v>291</v>
      </c>
      <c r="ED1" t="s">
        <v>292</v>
      </c>
      <c r="EE1" t="s">
        <v>293</v>
      </c>
      <c r="EF1" t="s">
        <v>294</v>
      </c>
      <c r="EG1" t="s">
        <v>295</v>
      </c>
      <c r="EH1" t="s">
        <v>296</v>
      </c>
      <c r="EI1" t="s">
        <v>297</v>
      </c>
      <c r="EJ1" t="s">
        <v>298</v>
      </c>
      <c r="EK1" t="s">
        <v>299</v>
      </c>
      <c r="EL1" t="s">
        <v>300</v>
      </c>
      <c r="EM1" t="s">
        <v>301</v>
      </c>
      <c r="EN1" t="s">
        <v>302</v>
      </c>
      <c r="EO1" t="s">
        <v>303</v>
      </c>
      <c r="EP1" t="s">
        <v>304</v>
      </c>
      <c r="EQ1" t="s">
        <v>305</v>
      </c>
      <c r="ER1" t="s">
        <v>306</v>
      </c>
      <c r="ES1" t="s">
        <v>307</v>
      </c>
      <c r="ET1" t="s">
        <v>308</v>
      </c>
      <c r="EU1" t="s">
        <v>309</v>
      </c>
      <c r="EV1" t="s">
        <v>310</v>
      </c>
      <c r="EW1" t="s">
        <v>311</v>
      </c>
      <c r="EX1" t="s">
        <v>312</v>
      </c>
      <c r="EY1" t="s">
        <v>313</v>
      </c>
      <c r="EZ1" t="s">
        <v>314</v>
      </c>
      <c r="FA1" t="s">
        <v>315</v>
      </c>
      <c r="FB1" t="s">
        <v>316</v>
      </c>
      <c r="FC1" t="s">
        <v>154</v>
      </c>
      <c r="FD1" t="s">
        <v>317</v>
      </c>
      <c r="FE1" t="s">
        <v>318</v>
      </c>
      <c r="FF1" t="s">
        <v>319</v>
      </c>
      <c r="FG1" t="s">
        <v>320</v>
      </c>
      <c r="FH1" t="s">
        <v>321</v>
      </c>
    </row>
    <row r="2" spans="1:164" x14ac:dyDescent="0.3">
      <c r="A2" t="s">
        <v>322</v>
      </c>
      <c r="B2" t="s">
        <v>322</v>
      </c>
      <c r="C2">
        <v>18</v>
      </c>
      <c r="D2">
        <v>18</v>
      </c>
      <c r="E2">
        <v>46301</v>
      </c>
      <c r="F2">
        <v>5000000</v>
      </c>
      <c r="G2">
        <v>5000000</v>
      </c>
      <c r="I2">
        <v>5000000</v>
      </c>
      <c r="J2" t="s">
        <v>363</v>
      </c>
      <c r="K2">
        <v>46301</v>
      </c>
      <c r="L2">
        <v>46301</v>
      </c>
      <c r="M2">
        <v>46848</v>
      </c>
      <c r="N2" t="s">
        <v>364</v>
      </c>
      <c r="O2" t="s">
        <v>45</v>
      </c>
      <c r="P2" t="s">
        <v>365</v>
      </c>
      <c r="R2" t="s">
        <v>366</v>
      </c>
      <c r="S2" t="s">
        <v>367</v>
      </c>
      <c r="T2" t="s">
        <v>368</v>
      </c>
      <c r="U2" t="s">
        <v>369</v>
      </c>
      <c r="V2" t="s">
        <v>370</v>
      </c>
      <c r="W2" t="s">
        <v>371</v>
      </c>
      <c r="X2">
        <v>516</v>
      </c>
      <c r="Y2" t="s">
        <v>372</v>
      </c>
      <c r="AA2" t="s">
        <v>373</v>
      </c>
      <c r="AE2" t="s">
        <v>374</v>
      </c>
      <c r="AF2" t="s">
        <v>375</v>
      </c>
      <c r="AG2" t="s">
        <v>376</v>
      </c>
      <c r="AH2" t="s">
        <v>376</v>
      </c>
      <c r="AK2">
        <v>0</v>
      </c>
      <c r="AL2" t="s">
        <v>377</v>
      </c>
      <c r="AM2">
        <v>15.25</v>
      </c>
      <c r="AN2">
        <v>15.25</v>
      </c>
      <c r="AQ2" t="s">
        <v>378</v>
      </c>
      <c r="AR2" t="s">
        <v>378</v>
      </c>
      <c r="AS2" t="s">
        <v>379</v>
      </c>
      <c r="AT2" t="s">
        <v>380</v>
      </c>
      <c r="AU2" t="s">
        <v>381</v>
      </c>
      <c r="AV2" t="s">
        <v>382</v>
      </c>
      <c r="AW2" t="s">
        <v>383</v>
      </c>
      <c r="AX2">
        <v>35</v>
      </c>
      <c r="AY2">
        <v>0</v>
      </c>
      <c r="AZ2">
        <v>35</v>
      </c>
      <c r="BA2">
        <v>9200000</v>
      </c>
      <c r="BB2" t="s">
        <v>384</v>
      </c>
      <c r="BC2" t="s">
        <v>385</v>
      </c>
      <c r="BD2" t="s">
        <v>386</v>
      </c>
      <c r="BE2" t="s">
        <v>386</v>
      </c>
      <c r="BF2">
        <v>46301</v>
      </c>
      <c r="BG2">
        <v>5000000</v>
      </c>
      <c r="BH2">
        <v>622599</v>
      </c>
      <c r="BI2">
        <v>5622599</v>
      </c>
      <c r="BL2">
        <v>903050</v>
      </c>
      <c r="BM2" t="s">
        <v>387</v>
      </c>
      <c r="BO2" t="s">
        <v>388</v>
      </c>
      <c r="BP2">
        <v>10012</v>
      </c>
      <c r="BQ2">
        <v>8112</v>
      </c>
      <c r="BR2" t="s">
        <v>389</v>
      </c>
      <c r="BS2" t="s">
        <v>389</v>
      </c>
      <c r="BT2" t="s">
        <v>389</v>
      </c>
      <c r="BU2" t="s">
        <v>390</v>
      </c>
      <c r="BV2">
        <v>1015</v>
      </c>
      <c r="BW2" t="s">
        <v>391</v>
      </c>
      <c r="BX2" t="s">
        <v>392</v>
      </c>
      <c r="BY2">
        <v>46370</v>
      </c>
      <c r="BZ2" t="s">
        <v>393</v>
      </c>
      <c r="CA2">
        <v>46370</v>
      </c>
      <c r="CB2">
        <v>80</v>
      </c>
      <c r="CC2" t="s">
        <v>394</v>
      </c>
      <c r="CD2">
        <v>1001</v>
      </c>
      <c r="CF2" t="s">
        <v>395</v>
      </c>
      <c r="CG2">
        <v>21006</v>
      </c>
      <c r="CH2" t="s">
        <v>396</v>
      </c>
      <c r="CI2" t="s">
        <v>397</v>
      </c>
      <c r="CJ2" t="s">
        <v>398</v>
      </c>
      <c r="CK2" t="s">
        <v>399</v>
      </c>
      <c r="CL2">
        <v>21027</v>
      </c>
      <c r="CM2">
        <v>1001</v>
      </c>
      <c r="CN2" t="s">
        <v>400</v>
      </c>
      <c r="CO2" t="s">
        <v>387</v>
      </c>
      <c r="CP2" t="s">
        <v>401</v>
      </c>
      <c r="CQ2" t="s">
        <v>402</v>
      </c>
      <c r="CR2" t="s">
        <v>403</v>
      </c>
      <c r="CW2">
        <v>0</v>
      </c>
      <c r="CX2">
        <v>0</v>
      </c>
      <c r="CY2">
        <v>0</v>
      </c>
      <c r="CZ2" t="s">
        <v>404</v>
      </c>
      <c r="DA2" t="s">
        <v>405</v>
      </c>
      <c r="DJ2">
        <v>479523</v>
      </c>
      <c r="DK2">
        <v>46301</v>
      </c>
      <c r="DM2" t="s">
        <v>406</v>
      </c>
      <c r="DO2" t="s">
        <v>407</v>
      </c>
      <c r="DP2" t="s">
        <v>408</v>
      </c>
      <c r="DQ2" t="s">
        <v>409</v>
      </c>
      <c r="DX2">
        <v>1</v>
      </c>
      <c r="DY2">
        <v>27</v>
      </c>
      <c r="DZ2">
        <v>1</v>
      </c>
      <c r="EC2">
        <v>0</v>
      </c>
      <c r="EG2">
        <v>0</v>
      </c>
      <c r="EH2">
        <v>0</v>
      </c>
      <c r="EI2">
        <v>0</v>
      </c>
      <c r="EJ2">
        <v>750000</v>
      </c>
      <c r="EK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U2">
        <v>750000</v>
      </c>
      <c r="EY2">
        <v>0</v>
      </c>
      <c r="EZ2">
        <v>0</v>
      </c>
      <c r="FA2">
        <v>0</v>
      </c>
      <c r="FB2">
        <v>0</v>
      </c>
      <c r="FC2">
        <v>5000000</v>
      </c>
      <c r="FG2">
        <v>46296</v>
      </c>
      <c r="FH2">
        <v>46301</v>
      </c>
    </row>
    <row r="3" spans="1:164" x14ac:dyDescent="0.3">
      <c r="A3" t="s">
        <v>323</v>
      </c>
      <c r="B3" t="s">
        <v>323</v>
      </c>
      <c r="C3">
        <v>36</v>
      </c>
      <c r="D3">
        <v>36</v>
      </c>
      <c r="E3">
        <v>46292</v>
      </c>
      <c r="F3">
        <v>7000000</v>
      </c>
      <c r="G3">
        <v>7000000</v>
      </c>
      <c r="H3" t="s">
        <v>324</v>
      </c>
      <c r="I3">
        <v>7000000</v>
      </c>
      <c r="J3" t="s">
        <v>363</v>
      </c>
      <c r="K3">
        <v>46300</v>
      </c>
      <c r="L3">
        <v>46300.539409722223</v>
      </c>
      <c r="M3">
        <v>47396</v>
      </c>
      <c r="N3" t="s">
        <v>410</v>
      </c>
      <c r="O3" t="s">
        <v>9</v>
      </c>
      <c r="P3" t="s">
        <v>411</v>
      </c>
      <c r="R3" t="s">
        <v>366</v>
      </c>
      <c r="S3" t="s">
        <v>367</v>
      </c>
      <c r="T3" t="s">
        <v>412</v>
      </c>
      <c r="U3" t="s">
        <v>413</v>
      </c>
      <c r="V3" t="s">
        <v>414</v>
      </c>
      <c r="W3" t="s">
        <v>415</v>
      </c>
      <c r="X3">
        <v>76</v>
      </c>
      <c r="Y3" t="s">
        <v>416</v>
      </c>
      <c r="Z3" t="s">
        <v>417</v>
      </c>
      <c r="AA3" t="s">
        <v>372</v>
      </c>
      <c r="AB3" t="s">
        <v>418</v>
      </c>
      <c r="AC3">
        <v>10</v>
      </c>
      <c r="AD3" t="s">
        <v>419</v>
      </c>
      <c r="AE3" t="s">
        <v>420</v>
      </c>
      <c r="AF3" t="s">
        <v>421</v>
      </c>
      <c r="AG3" t="s">
        <v>422</v>
      </c>
      <c r="AH3" t="s">
        <v>422</v>
      </c>
      <c r="AK3">
        <v>0</v>
      </c>
      <c r="AL3" t="s">
        <v>377</v>
      </c>
      <c r="AM3">
        <v>7</v>
      </c>
      <c r="AN3">
        <v>7</v>
      </c>
      <c r="AQ3" t="s">
        <v>378</v>
      </c>
      <c r="AR3" t="s">
        <v>378</v>
      </c>
      <c r="AS3" t="s">
        <v>423</v>
      </c>
      <c r="AT3" t="s">
        <v>380</v>
      </c>
      <c r="AU3" t="s">
        <v>381</v>
      </c>
      <c r="AV3" t="s">
        <v>424</v>
      </c>
      <c r="AW3" t="s">
        <v>425</v>
      </c>
      <c r="AX3">
        <v>14</v>
      </c>
      <c r="AY3">
        <v>4</v>
      </c>
      <c r="AZ3">
        <v>18</v>
      </c>
      <c r="BA3">
        <v>13500000</v>
      </c>
      <c r="BB3" t="s">
        <v>426</v>
      </c>
      <c r="BD3" t="s">
        <v>427</v>
      </c>
      <c r="BE3" t="s">
        <v>427</v>
      </c>
      <c r="BF3">
        <v>42368</v>
      </c>
      <c r="BG3">
        <v>7000000</v>
      </c>
      <c r="BH3">
        <v>0</v>
      </c>
      <c r="BI3">
        <v>7000000</v>
      </c>
      <c r="BL3">
        <v>902501</v>
      </c>
      <c r="BM3" t="s">
        <v>428</v>
      </c>
      <c r="BN3" t="s">
        <v>429</v>
      </c>
      <c r="BO3" t="s">
        <v>430</v>
      </c>
      <c r="BP3">
        <v>10003</v>
      </c>
      <c r="BQ3">
        <v>2090</v>
      </c>
      <c r="BR3" t="s">
        <v>431</v>
      </c>
      <c r="BS3" t="s">
        <v>431</v>
      </c>
      <c r="BT3" t="s">
        <v>431</v>
      </c>
      <c r="BU3" t="s">
        <v>432</v>
      </c>
      <c r="BV3">
        <v>1012</v>
      </c>
      <c r="BW3" t="s">
        <v>433</v>
      </c>
      <c r="BX3" t="s">
        <v>392</v>
      </c>
      <c r="BY3">
        <v>46370</v>
      </c>
      <c r="BZ3" t="s">
        <v>431</v>
      </c>
      <c r="CA3">
        <v>46370</v>
      </c>
      <c r="CB3">
        <v>14</v>
      </c>
      <c r="CC3" t="s">
        <v>394</v>
      </c>
      <c r="CD3">
        <v>1001</v>
      </c>
      <c r="CE3" t="s">
        <v>434</v>
      </c>
      <c r="CF3" t="s">
        <v>395</v>
      </c>
      <c r="CG3">
        <v>21006</v>
      </c>
      <c r="CH3" t="s">
        <v>396</v>
      </c>
      <c r="CI3" t="s">
        <v>397</v>
      </c>
      <c r="CJ3" t="s">
        <v>398</v>
      </c>
      <c r="CK3" t="s">
        <v>435</v>
      </c>
      <c r="CL3">
        <v>21025</v>
      </c>
      <c r="CM3">
        <v>1001</v>
      </c>
      <c r="CN3" t="s">
        <v>400</v>
      </c>
      <c r="CO3" t="s">
        <v>436</v>
      </c>
      <c r="CP3" t="s">
        <v>437</v>
      </c>
      <c r="CQ3" t="s">
        <v>402</v>
      </c>
      <c r="CR3" t="s">
        <v>403</v>
      </c>
      <c r="CS3" t="s">
        <v>438</v>
      </c>
      <c r="CW3">
        <v>0</v>
      </c>
      <c r="CX3">
        <v>0</v>
      </c>
      <c r="CY3">
        <v>0</v>
      </c>
      <c r="CZ3" t="s">
        <v>439</v>
      </c>
      <c r="DA3" t="s">
        <v>405</v>
      </c>
      <c r="DB3" t="s">
        <v>440</v>
      </c>
      <c r="DD3" t="s">
        <v>9</v>
      </c>
      <c r="DG3" t="s">
        <v>441</v>
      </c>
      <c r="DH3" t="s">
        <v>441</v>
      </c>
      <c r="DI3" t="s">
        <v>441</v>
      </c>
      <c r="DJ3">
        <v>479381</v>
      </c>
      <c r="DK3">
        <v>46300</v>
      </c>
      <c r="DM3" t="s">
        <v>442</v>
      </c>
      <c r="DO3" t="s">
        <v>443</v>
      </c>
      <c r="DP3" t="s">
        <v>444</v>
      </c>
      <c r="DQ3" t="s">
        <v>445</v>
      </c>
      <c r="DV3">
        <v>24838</v>
      </c>
      <c r="DW3">
        <v>58</v>
      </c>
      <c r="DX3">
        <v>1</v>
      </c>
      <c r="DY3">
        <v>21</v>
      </c>
      <c r="DZ3">
        <v>1</v>
      </c>
      <c r="EA3" t="s">
        <v>431</v>
      </c>
      <c r="EB3" t="s">
        <v>446</v>
      </c>
      <c r="EC3">
        <v>52500</v>
      </c>
      <c r="EG3">
        <v>0</v>
      </c>
      <c r="EH3">
        <v>0</v>
      </c>
      <c r="EI3">
        <v>0</v>
      </c>
      <c r="EJ3">
        <v>0</v>
      </c>
      <c r="EK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800000</v>
      </c>
      <c r="ES3">
        <v>0</v>
      </c>
      <c r="EU3">
        <v>800000</v>
      </c>
      <c r="EW3" t="s">
        <v>447</v>
      </c>
      <c r="EX3" t="s">
        <v>448</v>
      </c>
      <c r="EY3">
        <v>15939</v>
      </c>
      <c r="EZ3">
        <v>15939</v>
      </c>
      <c r="FA3">
        <v>0</v>
      </c>
      <c r="FB3">
        <v>0</v>
      </c>
      <c r="FC3">
        <v>7000000</v>
      </c>
      <c r="FD3" t="s">
        <v>449</v>
      </c>
      <c r="FF3" t="s">
        <v>450</v>
      </c>
      <c r="FG3">
        <v>46296</v>
      </c>
      <c r="FH3">
        <v>46301</v>
      </c>
    </row>
    <row r="4" spans="1:164" x14ac:dyDescent="0.3">
      <c r="A4" t="s">
        <v>325</v>
      </c>
      <c r="B4" t="s">
        <v>325</v>
      </c>
      <c r="C4">
        <v>36</v>
      </c>
      <c r="D4">
        <v>36</v>
      </c>
      <c r="E4">
        <v>46294</v>
      </c>
      <c r="F4">
        <v>6000000</v>
      </c>
      <c r="G4">
        <v>6000000</v>
      </c>
      <c r="H4" t="s">
        <v>324</v>
      </c>
      <c r="I4">
        <v>6000000</v>
      </c>
      <c r="J4" t="s">
        <v>363</v>
      </c>
      <c r="K4">
        <v>46299</v>
      </c>
      <c r="L4">
        <v>46299.753113425926</v>
      </c>
      <c r="M4">
        <v>47396</v>
      </c>
      <c r="N4" t="s">
        <v>410</v>
      </c>
      <c r="O4" t="s">
        <v>61</v>
      </c>
      <c r="P4" t="s">
        <v>451</v>
      </c>
      <c r="R4" t="s">
        <v>366</v>
      </c>
      <c r="S4" t="s">
        <v>367</v>
      </c>
      <c r="T4" t="s">
        <v>412</v>
      </c>
      <c r="U4" t="s">
        <v>413</v>
      </c>
      <c r="V4" t="s">
        <v>414</v>
      </c>
      <c r="W4" t="s">
        <v>415</v>
      </c>
      <c r="X4">
        <v>502</v>
      </c>
      <c r="Y4" t="s">
        <v>452</v>
      </c>
      <c r="Z4" t="s">
        <v>453</v>
      </c>
      <c r="AA4" t="s">
        <v>454</v>
      </c>
      <c r="AB4" t="s">
        <v>418</v>
      </c>
      <c r="AC4">
        <v>9</v>
      </c>
      <c r="AD4" t="s">
        <v>455</v>
      </c>
      <c r="AE4" t="s">
        <v>456</v>
      </c>
      <c r="AF4" t="s">
        <v>421</v>
      </c>
      <c r="AG4" t="s">
        <v>457</v>
      </c>
      <c r="AH4" t="s">
        <v>457</v>
      </c>
      <c r="AK4">
        <v>0</v>
      </c>
      <c r="AL4" t="s">
        <v>377</v>
      </c>
      <c r="AM4">
        <v>7</v>
      </c>
      <c r="AN4">
        <v>7</v>
      </c>
      <c r="AQ4" t="s">
        <v>378</v>
      </c>
      <c r="AR4" t="s">
        <v>378</v>
      </c>
      <c r="AS4" t="s">
        <v>423</v>
      </c>
      <c r="AT4" t="s">
        <v>380</v>
      </c>
      <c r="AU4" t="s">
        <v>381</v>
      </c>
      <c r="AV4" t="s">
        <v>458</v>
      </c>
      <c r="AW4" t="s">
        <v>459</v>
      </c>
      <c r="AX4">
        <v>15</v>
      </c>
      <c r="AY4">
        <v>0</v>
      </c>
      <c r="AZ4">
        <v>15</v>
      </c>
      <c r="BA4">
        <v>19561500</v>
      </c>
      <c r="BB4" t="s">
        <v>426</v>
      </c>
      <c r="BD4" t="s">
        <v>427</v>
      </c>
      <c r="BE4" t="s">
        <v>427</v>
      </c>
      <c r="BF4">
        <v>44892</v>
      </c>
      <c r="BG4">
        <v>6000000</v>
      </c>
      <c r="BH4">
        <v>0</v>
      </c>
      <c r="BI4">
        <v>6000000</v>
      </c>
      <c r="BL4">
        <v>902485</v>
      </c>
      <c r="BM4" t="s">
        <v>460</v>
      </c>
      <c r="BN4" t="s">
        <v>429</v>
      </c>
      <c r="BO4" t="s">
        <v>430</v>
      </c>
      <c r="BP4">
        <v>10003</v>
      </c>
      <c r="BQ4">
        <v>2090</v>
      </c>
      <c r="BR4" t="s">
        <v>431</v>
      </c>
      <c r="BS4" t="s">
        <v>431</v>
      </c>
      <c r="BT4" t="s">
        <v>431</v>
      </c>
      <c r="BU4" t="s">
        <v>432</v>
      </c>
      <c r="BV4">
        <v>1012</v>
      </c>
      <c r="BW4" t="s">
        <v>433</v>
      </c>
      <c r="BX4" t="s">
        <v>392</v>
      </c>
      <c r="BY4">
        <v>46370</v>
      </c>
      <c r="BZ4" t="s">
        <v>431</v>
      </c>
      <c r="CA4">
        <v>46370</v>
      </c>
      <c r="CB4">
        <v>14</v>
      </c>
      <c r="CC4" t="s">
        <v>394</v>
      </c>
      <c r="CD4">
        <v>1001</v>
      </c>
      <c r="CE4" t="s">
        <v>434</v>
      </c>
      <c r="CF4" t="s">
        <v>395</v>
      </c>
      <c r="CG4">
        <v>21006</v>
      </c>
      <c r="CH4" t="s">
        <v>396</v>
      </c>
      <c r="CI4" t="s">
        <v>397</v>
      </c>
      <c r="CJ4" t="s">
        <v>398</v>
      </c>
      <c r="CK4" t="s">
        <v>435</v>
      </c>
      <c r="CL4">
        <v>21025</v>
      </c>
      <c r="CM4">
        <v>1001</v>
      </c>
      <c r="CN4" t="s">
        <v>400</v>
      </c>
      <c r="CO4" t="s">
        <v>461</v>
      </c>
      <c r="CP4" t="s">
        <v>437</v>
      </c>
      <c r="CQ4" t="s">
        <v>402</v>
      </c>
      <c r="CR4" t="s">
        <v>403</v>
      </c>
      <c r="CS4" t="s">
        <v>462</v>
      </c>
      <c r="CW4">
        <v>0</v>
      </c>
      <c r="CX4">
        <v>0</v>
      </c>
      <c r="CY4">
        <v>0</v>
      </c>
      <c r="CZ4" t="s">
        <v>439</v>
      </c>
      <c r="DA4" t="s">
        <v>405</v>
      </c>
      <c r="DB4" t="s">
        <v>440</v>
      </c>
      <c r="DD4" t="s">
        <v>409</v>
      </c>
      <c r="DG4" t="s">
        <v>441</v>
      </c>
      <c r="DH4" t="s">
        <v>441</v>
      </c>
      <c r="DI4" t="s">
        <v>441</v>
      </c>
      <c r="DJ4">
        <v>479301</v>
      </c>
      <c r="DK4">
        <v>46299</v>
      </c>
      <c r="DM4" t="s">
        <v>463</v>
      </c>
      <c r="DO4" t="s">
        <v>464</v>
      </c>
      <c r="DP4" t="s">
        <v>408</v>
      </c>
      <c r="DQ4" t="s">
        <v>409</v>
      </c>
      <c r="DV4">
        <v>30059</v>
      </c>
      <c r="DW4">
        <v>44</v>
      </c>
      <c r="DX4">
        <v>1</v>
      </c>
      <c r="DY4">
        <v>25</v>
      </c>
      <c r="DZ4">
        <v>1</v>
      </c>
      <c r="EA4" t="s">
        <v>431</v>
      </c>
      <c r="EB4" t="s">
        <v>454</v>
      </c>
      <c r="EC4">
        <v>60000</v>
      </c>
      <c r="EG4">
        <v>0</v>
      </c>
      <c r="EH4">
        <v>0</v>
      </c>
      <c r="EI4">
        <v>0</v>
      </c>
      <c r="EJ4">
        <v>0</v>
      </c>
      <c r="EK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U4">
        <v>0</v>
      </c>
      <c r="EW4" t="s">
        <v>465</v>
      </c>
      <c r="EX4" t="s">
        <v>448</v>
      </c>
      <c r="EY4">
        <v>12978.9</v>
      </c>
      <c r="EZ4">
        <v>12978.9</v>
      </c>
      <c r="FA4">
        <v>0</v>
      </c>
      <c r="FB4">
        <v>0</v>
      </c>
      <c r="FC4">
        <v>6000000</v>
      </c>
      <c r="FD4" t="s">
        <v>466</v>
      </c>
      <c r="FF4" t="s">
        <v>467</v>
      </c>
      <c r="FG4">
        <v>46296</v>
      </c>
      <c r="FH4">
        <v>46301</v>
      </c>
    </row>
    <row r="5" spans="1:164" x14ac:dyDescent="0.3">
      <c r="A5" t="s">
        <v>326</v>
      </c>
      <c r="B5" t="s">
        <v>326</v>
      </c>
      <c r="C5">
        <v>12</v>
      </c>
      <c r="D5">
        <v>12</v>
      </c>
      <c r="E5">
        <v>46293</v>
      </c>
      <c r="F5">
        <v>1500000</v>
      </c>
      <c r="G5">
        <v>1500000</v>
      </c>
      <c r="H5" t="s">
        <v>324</v>
      </c>
      <c r="I5">
        <v>1500000</v>
      </c>
      <c r="J5" t="s">
        <v>468</v>
      </c>
      <c r="K5">
        <v>46299</v>
      </c>
      <c r="L5">
        <v>46299.642581018517</v>
      </c>
      <c r="M5">
        <v>46665</v>
      </c>
      <c r="N5" t="s">
        <v>410</v>
      </c>
      <c r="O5" t="s">
        <v>49</v>
      </c>
      <c r="P5" t="s">
        <v>469</v>
      </c>
      <c r="R5" t="s">
        <v>366</v>
      </c>
      <c r="S5" t="s">
        <v>367</v>
      </c>
      <c r="T5" t="s">
        <v>412</v>
      </c>
      <c r="U5" t="s">
        <v>413</v>
      </c>
      <c r="V5" t="s">
        <v>414</v>
      </c>
      <c r="W5" t="s">
        <v>415</v>
      </c>
      <c r="X5">
        <v>495</v>
      </c>
      <c r="Y5" t="s">
        <v>470</v>
      </c>
      <c r="Z5" t="s">
        <v>417</v>
      </c>
      <c r="AA5" t="s">
        <v>372</v>
      </c>
      <c r="AB5" t="s">
        <v>471</v>
      </c>
      <c r="AC5">
        <v>10</v>
      </c>
      <c r="AD5" t="s">
        <v>419</v>
      </c>
      <c r="AE5" t="s">
        <v>472</v>
      </c>
      <c r="AF5" t="s">
        <v>421</v>
      </c>
      <c r="AG5" t="s">
        <v>473</v>
      </c>
      <c r="AH5" t="s">
        <v>473</v>
      </c>
      <c r="AK5">
        <v>0</v>
      </c>
      <c r="AL5" t="s">
        <v>377</v>
      </c>
      <c r="AM5">
        <v>7</v>
      </c>
      <c r="AN5">
        <v>7</v>
      </c>
      <c r="AQ5" t="s">
        <v>378</v>
      </c>
      <c r="AR5" t="s">
        <v>378</v>
      </c>
      <c r="AS5" t="s">
        <v>423</v>
      </c>
      <c r="AT5" t="s">
        <v>380</v>
      </c>
      <c r="AU5" t="s">
        <v>474</v>
      </c>
      <c r="AV5" t="s">
        <v>475</v>
      </c>
      <c r="AW5" t="s">
        <v>476</v>
      </c>
      <c r="AX5">
        <v>40</v>
      </c>
      <c r="AY5">
        <v>12</v>
      </c>
      <c r="AZ5">
        <v>52</v>
      </c>
      <c r="BA5">
        <v>74841780</v>
      </c>
      <c r="BB5" t="s">
        <v>426</v>
      </c>
      <c r="BD5" t="s">
        <v>427</v>
      </c>
      <c r="BE5" t="s">
        <v>427</v>
      </c>
      <c r="BF5">
        <v>43921.547531284719</v>
      </c>
      <c r="BG5">
        <v>1500000</v>
      </c>
      <c r="BH5">
        <v>0</v>
      </c>
      <c r="BI5">
        <v>1500000</v>
      </c>
      <c r="BL5">
        <v>902522</v>
      </c>
      <c r="BM5" t="s">
        <v>477</v>
      </c>
      <c r="BN5" t="s">
        <v>429</v>
      </c>
      <c r="BO5" t="s">
        <v>430</v>
      </c>
      <c r="BP5">
        <v>10003</v>
      </c>
      <c r="BQ5">
        <v>2090</v>
      </c>
      <c r="BR5" t="s">
        <v>431</v>
      </c>
      <c r="BS5" t="s">
        <v>431</v>
      </c>
      <c r="BT5" t="s">
        <v>431</v>
      </c>
      <c r="BU5" t="s">
        <v>432</v>
      </c>
      <c r="BV5">
        <v>1012</v>
      </c>
      <c r="BW5" t="s">
        <v>433</v>
      </c>
      <c r="BX5" t="s">
        <v>392</v>
      </c>
      <c r="BY5">
        <v>46370</v>
      </c>
      <c r="BZ5" t="s">
        <v>431</v>
      </c>
      <c r="CA5">
        <v>46370</v>
      </c>
      <c r="CB5">
        <v>14</v>
      </c>
      <c r="CC5" t="s">
        <v>394</v>
      </c>
      <c r="CD5">
        <v>1001</v>
      </c>
      <c r="CE5" t="s">
        <v>434</v>
      </c>
      <c r="CF5" t="s">
        <v>478</v>
      </c>
      <c r="CG5">
        <v>21080</v>
      </c>
      <c r="CH5" t="s">
        <v>479</v>
      </c>
      <c r="CI5" t="s">
        <v>480</v>
      </c>
      <c r="CJ5" t="s">
        <v>478</v>
      </c>
      <c r="CK5" t="s">
        <v>435</v>
      </c>
      <c r="CL5">
        <v>21081</v>
      </c>
      <c r="CM5">
        <v>1001</v>
      </c>
      <c r="CN5" t="s">
        <v>400</v>
      </c>
      <c r="CO5" t="s">
        <v>436</v>
      </c>
      <c r="CP5" t="s">
        <v>437</v>
      </c>
      <c r="CQ5" t="s">
        <v>402</v>
      </c>
      <c r="CR5" t="s">
        <v>403</v>
      </c>
      <c r="CS5" t="s">
        <v>481</v>
      </c>
      <c r="CW5">
        <v>0</v>
      </c>
      <c r="CX5">
        <v>0</v>
      </c>
      <c r="CY5">
        <v>0</v>
      </c>
      <c r="CZ5" t="s">
        <v>439</v>
      </c>
      <c r="DA5" t="s">
        <v>471</v>
      </c>
      <c r="DB5" t="s">
        <v>440</v>
      </c>
      <c r="DD5" t="s">
        <v>482</v>
      </c>
      <c r="DG5" t="s">
        <v>441</v>
      </c>
      <c r="DH5" t="s">
        <v>441</v>
      </c>
      <c r="DI5" t="s">
        <v>441</v>
      </c>
      <c r="DJ5">
        <v>479246</v>
      </c>
      <c r="DK5">
        <v>46299</v>
      </c>
      <c r="DM5" t="s">
        <v>483</v>
      </c>
      <c r="DO5" t="s">
        <v>484</v>
      </c>
      <c r="DP5" t="s">
        <v>485</v>
      </c>
      <c r="DQ5" t="s">
        <v>409</v>
      </c>
      <c r="DV5">
        <v>24239</v>
      </c>
      <c r="DW5">
        <v>60</v>
      </c>
      <c r="DX5">
        <v>1</v>
      </c>
      <c r="DY5">
        <v>50</v>
      </c>
      <c r="DZ5">
        <v>1</v>
      </c>
      <c r="EA5" t="s">
        <v>431</v>
      </c>
      <c r="EB5" t="s">
        <v>446</v>
      </c>
      <c r="EC5">
        <v>11250</v>
      </c>
      <c r="EG5">
        <v>0</v>
      </c>
      <c r="EH5">
        <v>0</v>
      </c>
      <c r="EI5">
        <v>0</v>
      </c>
      <c r="EJ5">
        <v>0</v>
      </c>
      <c r="EK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U5">
        <v>0</v>
      </c>
      <c r="EW5" t="s">
        <v>486</v>
      </c>
      <c r="EX5" t="s">
        <v>487</v>
      </c>
      <c r="EY5">
        <v>4743.75</v>
      </c>
      <c r="EZ5">
        <v>4743.75</v>
      </c>
      <c r="FA5">
        <v>0</v>
      </c>
      <c r="FB5">
        <v>0</v>
      </c>
      <c r="FC5">
        <v>1500000</v>
      </c>
      <c r="FD5" t="s">
        <v>488</v>
      </c>
      <c r="FF5" t="s">
        <v>489</v>
      </c>
      <c r="FG5">
        <v>46296</v>
      </c>
      <c r="FH5">
        <v>46301</v>
      </c>
    </row>
    <row r="6" spans="1:164" x14ac:dyDescent="0.3">
      <c r="A6" t="s">
        <v>327</v>
      </c>
      <c r="B6" t="s">
        <v>327</v>
      </c>
      <c r="C6">
        <v>36</v>
      </c>
      <c r="D6">
        <v>36</v>
      </c>
      <c r="E6">
        <v>46286</v>
      </c>
      <c r="F6">
        <v>10800000</v>
      </c>
      <c r="G6">
        <v>10800000</v>
      </c>
      <c r="H6" t="s">
        <v>328</v>
      </c>
      <c r="I6">
        <v>10134991.189999999</v>
      </c>
      <c r="J6" t="s">
        <v>468</v>
      </c>
      <c r="K6">
        <v>46296</v>
      </c>
      <c r="L6">
        <v>46296.514363425929</v>
      </c>
      <c r="M6">
        <v>47396</v>
      </c>
      <c r="N6" t="s">
        <v>410</v>
      </c>
      <c r="O6" t="s">
        <v>61</v>
      </c>
      <c r="P6" t="s">
        <v>451</v>
      </c>
      <c r="R6" t="s">
        <v>366</v>
      </c>
      <c r="S6" t="s">
        <v>367</v>
      </c>
      <c r="T6" t="s">
        <v>490</v>
      </c>
      <c r="U6" t="s">
        <v>491</v>
      </c>
      <c r="V6" t="s">
        <v>492</v>
      </c>
      <c r="W6" t="s">
        <v>371</v>
      </c>
      <c r="X6">
        <v>47</v>
      </c>
      <c r="Y6" t="s">
        <v>493</v>
      </c>
      <c r="Z6" t="s">
        <v>494</v>
      </c>
      <c r="AA6" t="s">
        <v>495</v>
      </c>
      <c r="AB6" t="s">
        <v>496</v>
      </c>
      <c r="AC6">
        <v>1</v>
      </c>
      <c r="AD6" t="s">
        <v>497</v>
      </c>
      <c r="AE6" t="s">
        <v>374</v>
      </c>
      <c r="AF6" t="s">
        <v>421</v>
      </c>
      <c r="AG6" t="s">
        <v>498</v>
      </c>
      <c r="AH6" t="s">
        <v>498</v>
      </c>
      <c r="AK6">
        <v>0</v>
      </c>
      <c r="AL6" t="s">
        <v>377</v>
      </c>
      <c r="AM6">
        <v>14.49</v>
      </c>
      <c r="AN6">
        <v>14.49</v>
      </c>
      <c r="AP6" t="s">
        <v>499</v>
      </c>
      <c r="AQ6" t="s">
        <v>378</v>
      </c>
      <c r="AR6" t="s">
        <v>378</v>
      </c>
      <c r="AS6" t="s">
        <v>423</v>
      </c>
      <c r="AT6" t="s">
        <v>380</v>
      </c>
      <c r="AU6" t="s">
        <v>381</v>
      </c>
      <c r="AV6" t="s">
        <v>500</v>
      </c>
      <c r="AW6" t="s">
        <v>501</v>
      </c>
      <c r="AX6">
        <v>26</v>
      </c>
      <c r="AY6">
        <v>14</v>
      </c>
      <c r="AZ6">
        <v>40</v>
      </c>
      <c r="BA6">
        <v>32067000</v>
      </c>
      <c r="BB6" t="s">
        <v>426</v>
      </c>
      <c r="BD6" t="s">
        <v>427</v>
      </c>
      <c r="BE6" t="s">
        <v>427</v>
      </c>
      <c r="BF6">
        <v>44455</v>
      </c>
      <c r="BG6">
        <v>10800000</v>
      </c>
      <c r="BH6">
        <v>0</v>
      </c>
      <c r="BI6">
        <v>10800000</v>
      </c>
      <c r="BL6">
        <v>903050</v>
      </c>
      <c r="BM6" t="s">
        <v>387</v>
      </c>
      <c r="BN6" t="s">
        <v>429</v>
      </c>
      <c r="BO6" t="s">
        <v>502</v>
      </c>
      <c r="BP6">
        <v>1</v>
      </c>
      <c r="BQ6">
        <v>8112</v>
      </c>
      <c r="BR6" t="s">
        <v>389</v>
      </c>
      <c r="BS6" t="s">
        <v>389</v>
      </c>
      <c r="BT6" t="s">
        <v>389</v>
      </c>
      <c r="BU6" t="s">
        <v>390</v>
      </c>
      <c r="BV6">
        <v>1012</v>
      </c>
      <c r="BW6" t="s">
        <v>433</v>
      </c>
      <c r="BX6" t="s">
        <v>392</v>
      </c>
      <c r="BY6">
        <v>46370</v>
      </c>
      <c r="BZ6" t="s">
        <v>503</v>
      </c>
      <c r="CA6">
        <v>46370</v>
      </c>
      <c r="CB6">
        <v>14</v>
      </c>
      <c r="CC6" t="s">
        <v>504</v>
      </c>
      <c r="CD6">
        <v>1002</v>
      </c>
      <c r="CE6" t="s">
        <v>505</v>
      </c>
      <c r="CF6" t="s">
        <v>395</v>
      </c>
      <c r="CG6">
        <v>21006</v>
      </c>
      <c r="CH6" t="s">
        <v>396</v>
      </c>
      <c r="CI6" t="s">
        <v>397</v>
      </c>
      <c r="CJ6" t="s">
        <v>398</v>
      </c>
      <c r="CK6" t="s">
        <v>435</v>
      </c>
      <c r="CL6">
        <v>21025</v>
      </c>
      <c r="CM6">
        <v>1001</v>
      </c>
      <c r="CN6" t="s">
        <v>400</v>
      </c>
      <c r="CO6" t="s">
        <v>387</v>
      </c>
      <c r="CP6" t="s">
        <v>401</v>
      </c>
      <c r="CQ6" t="s">
        <v>402</v>
      </c>
      <c r="CR6" t="s">
        <v>403</v>
      </c>
      <c r="CS6" t="s">
        <v>441</v>
      </c>
      <c r="CW6">
        <v>10257749.189999999</v>
      </c>
      <c r="CX6">
        <v>10257749.189999999</v>
      </c>
      <c r="CY6">
        <v>10257749.189999999</v>
      </c>
      <c r="CZ6" t="s">
        <v>404</v>
      </c>
      <c r="DA6" t="s">
        <v>405</v>
      </c>
      <c r="DD6" t="s">
        <v>409</v>
      </c>
      <c r="DG6" t="s">
        <v>441</v>
      </c>
      <c r="DH6" t="s">
        <v>441</v>
      </c>
      <c r="DI6" t="s">
        <v>441</v>
      </c>
      <c r="DJ6">
        <v>479094</v>
      </c>
      <c r="DK6">
        <v>46296</v>
      </c>
      <c r="DM6" t="s">
        <v>506</v>
      </c>
      <c r="DO6" t="s">
        <v>507</v>
      </c>
      <c r="DP6" t="s">
        <v>408</v>
      </c>
      <c r="DQ6" t="s">
        <v>409</v>
      </c>
      <c r="DV6">
        <v>32308</v>
      </c>
      <c r="DW6">
        <v>38</v>
      </c>
      <c r="DX6">
        <v>1</v>
      </c>
      <c r="DY6">
        <v>12</v>
      </c>
      <c r="DZ6">
        <v>1</v>
      </c>
      <c r="EA6" t="s">
        <v>389</v>
      </c>
      <c r="EB6" t="s">
        <v>389</v>
      </c>
      <c r="EC6">
        <v>81000</v>
      </c>
      <c r="EG6">
        <v>0</v>
      </c>
      <c r="EH6">
        <v>0</v>
      </c>
      <c r="EI6">
        <v>0</v>
      </c>
      <c r="EJ6">
        <v>0</v>
      </c>
      <c r="EK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U6">
        <v>0</v>
      </c>
      <c r="EW6" t="s">
        <v>393</v>
      </c>
      <c r="EX6" t="s">
        <v>487</v>
      </c>
      <c r="EY6">
        <v>20493</v>
      </c>
      <c r="EZ6">
        <v>20493</v>
      </c>
      <c r="FA6">
        <v>122758</v>
      </c>
      <c r="FB6">
        <v>0</v>
      </c>
      <c r="FC6">
        <v>10257749</v>
      </c>
      <c r="FD6" t="s">
        <v>508</v>
      </c>
      <c r="FF6" t="s">
        <v>509</v>
      </c>
      <c r="FG6">
        <v>46296</v>
      </c>
      <c r="FH6">
        <v>46301</v>
      </c>
    </row>
    <row r="7" spans="1:164" x14ac:dyDescent="0.3">
      <c r="A7" t="s">
        <v>329</v>
      </c>
      <c r="B7" t="s">
        <v>329</v>
      </c>
      <c r="C7">
        <v>60</v>
      </c>
      <c r="D7">
        <v>60</v>
      </c>
      <c r="E7">
        <v>46289</v>
      </c>
      <c r="F7">
        <v>15000000</v>
      </c>
      <c r="G7">
        <v>15000000</v>
      </c>
      <c r="H7" t="s">
        <v>324</v>
      </c>
      <c r="I7">
        <v>15000000</v>
      </c>
      <c r="J7" t="s">
        <v>363</v>
      </c>
      <c r="K7">
        <v>46296</v>
      </c>
      <c r="L7">
        <v>46296.645127314812</v>
      </c>
      <c r="M7">
        <v>48126</v>
      </c>
      <c r="N7" t="s">
        <v>410</v>
      </c>
      <c r="O7" t="s">
        <v>149</v>
      </c>
      <c r="P7" t="s">
        <v>510</v>
      </c>
      <c r="R7" t="s">
        <v>366</v>
      </c>
      <c r="S7" t="s">
        <v>367</v>
      </c>
      <c r="T7" t="s">
        <v>511</v>
      </c>
      <c r="U7" t="s">
        <v>512</v>
      </c>
      <c r="V7" t="s">
        <v>414</v>
      </c>
      <c r="W7" t="s">
        <v>415</v>
      </c>
      <c r="X7">
        <v>42</v>
      </c>
      <c r="Y7" t="s">
        <v>513</v>
      </c>
      <c r="AA7" t="s">
        <v>514</v>
      </c>
      <c r="AB7" t="s">
        <v>515</v>
      </c>
      <c r="AC7">
        <v>21</v>
      </c>
      <c r="AD7" t="s">
        <v>393</v>
      </c>
      <c r="AE7" t="s">
        <v>516</v>
      </c>
      <c r="AF7" t="s">
        <v>375</v>
      </c>
      <c r="AG7" t="s">
        <v>517</v>
      </c>
      <c r="AH7" t="s">
        <v>517</v>
      </c>
      <c r="AK7">
        <v>0</v>
      </c>
      <c r="AL7" t="s">
        <v>377</v>
      </c>
      <c r="AM7">
        <v>8</v>
      </c>
      <c r="AN7">
        <v>8</v>
      </c>
      <c r="AQ7" t="s">
        <v>378</v>
      </c>
      <c r="AR7" t="s">
        <v>378</v>
      </c>
      <c r="AS7" t="s">
        <v>423</v>
      </c>
      <c r="AT7" t="s">
        <v>380</v>
      </c>
      <c r="AU7" t="s">
        <v>474</v>
      </c>
      <c r="AV7" t="s">
        <v>518</v>
      </c>
      <c r="AW7" t="s">
        <v>519</v>
      </c>
      <c r="AX7">
        <v>80</v>
      </c>
      <c r="AY7">
        <v>5</v>
      </c>
      <c r="AZ7">
        <v>85</v>
      </c>
      <c r="BA7">
        <v>45052200</v>
      </c>
      <c r="BB7" t="s">
        <v>426</v>
      </c>
      <c r="BD7" t="s">
        <v>427</v>
      </c>
      <c r="BE7" t="s">
        <v>427</v>
      </c>
      <c r="BF7">
        <v>44530</v>
      </c>
      <c r="BG7">
        <v>15000000</v>
      </c>
      <c r="BH7">
        <v>0</v>
      </c>
      <c r="BI7">
        <v>15000000</v>
      </c>
      <c r="BL7">
        <v>902112</v>
      </c>
      <c r="BM7" t="s">
        <v>520</v>
      </c>
      <c r="BN7" t="s">
        <v>429</v>
      </c>
      <c r="BO7" t="s">
        <v>430</v>
      </c>
      <c r="BP7">
        <v>10003</v>
      </c>
      <c r="BQ7">
        <v>2090</v>
      </c>
      <c r="BR7" t="s">
        <v>431</v>
      </c>
      <c r="BS7" t="s">
        <v>431</v>
      </c>
      <c r="BT7" t="s">
        <v>431</v>
      </c>
      <c r="BU7" t="s">
        <v>432</v>
      </c>
      <c r="BV7">
        <v>1012</v>
      </c>
      <c r="BW7" t="s">
        <v>433</v>
      </c>
      <c r="BX7" t="s">
        <v>392</v>
      </c>
      <c r="BY7">
        <v>46370</v>
      </c>
      <c r="BZ7" t="s">
        <v>431</v>
      </c>
      <c r="CA7">
        <v>46370</v>
      </c>
      <c r="CB7">
        <v>14</v>
      </c>
      <c r="CC7" t="s">
        <v>394</v>
      </c>
      <c r="CD7">
        <v>1001</v>
      </c>
      <c r="CE7" t="s">
        <v>434</v>
      </c>
      <c r="CF7" t="s">
        <v>395</v>
      </c>
      <c r="CG7">
        <v>21006</v>
      </c>
      <c r="CH7" t="s">
        <v>396</v>
      </c>
      <c r="CI7" t="s">
        <v>397</v>
      </c>
      <c r="CJ7" t="s">
        <v>521</v>
      </c>
      <c r="CK7" t="s">
        <v>435</v>
      </c>
      <c r="CL7">
        <v>21025</v>
      </c>
      <c r="CM7">
        <v>1001</v>
      </c>
      <c r="CN7" t="s">
        <v>400</v>
      </c>
      <c r="CO7" t="s">
        <v>522</v>
      </c>
      <c r="CP7" t="s">
        <v>437</v>
      </c>
      <c r="CQ7" t="s">
        <v>402</v>
      </c>
      <c r="CR7" t="s">
        <v>403</v>
      </c>
      <c r="CS7" t="s">
        <v>523</v>
      </c>
      <c r="CW7">
        <v>0</v>
      </c>
      <c r="CX7">
        <v>0</v>
      </c>
      <c r="CY7">
        <v>0</v>
      </c>
      <c r="CZ7" t="s">
        <v>439</v>
      </c>
      <c r="DA7" t="s">
        <v>405</v>
      </c>
      <c r="DB7" t="s">
        <v>440</v>
      </c>
      <c r="DD7" t="s">
        <v>409</v>
      </c>
      <c r="DG7" t="s">
        <v>441</v>
      </c>
      <c r="DH7" t="s">
        <v>441</v>
      </c>
      <c r="DI7" t="s">
        <v>441</v>
      </c>
      <c r="DJ7">
        <v>479118</v>
      </c>
      <c r="DK7">
        <v>46296</v>
      </c>
      <c r="DM7" t="s">
        <v>524</v>
      </c>
      <c r="DO7" t="s">
        <v>525</v>
      </c>
      <c r="DP7" t="s">
        <v>408</v>
      </c>
      <c r="DQ7" t="s">
        <v>409</v>
      </c>
      <c r="DX7">
        <v>1</v>
      </c>
      <c r="DY7">
        <v>6</v>
      </c>
      <c r="DZ7">
        <v>1</v>
      </c>
      <c r="EA7" t="s">
        <v>431</v>
      </c>
      <c r="EB7" t="s">
        <v>526</v>
      </c>
      <c r="EC7">
        <v>37500</v>
      </c>
      <c r="EG7">
        <v>0</v>
      </c>
      <c r="EH7">
        <v>0</v>
      </c>
      <c r="EI7">
        <v>0</v>
      </c>
      <c r="EJ7">
        <v>0</v>
      </c>
      <c r="EK7">
        <v>0</v>
      </c>
      <c r="EM7">
        <v>0</v>
      </c>
      <c r="EN7">
        <v>8194888</v>
      </c>
      <c r="EO7">
        <v>0</v>
      </c>
      <c r="EP7">
        <v>0</v>
      </c>
      <c r="EQ7">
        <v>0</v>
      </c>
      <c r="ER7">
        <v>0</v>
      </c>
      <c r="ES7">
        <v>0</v>
      </c>
      <c r="EU7">
        <v>4097444</v>
      </c>
      <c r="EW7" t="s">
        <v>527</v>
      </c>
      <c r="EX7" t="s">
        <v>448</v>
      </c>
      <c r="EY7">
        <v>43386.75</v>
      </c>
      <c r="EZ7">
        <v>43386.75</v>
      </c>
      <c r="FA7">
        <v>0</v>
      </c>
      <c r="FB7">
        <v>0</v>
      </c>
      <c r="FC7">
        <v>15000000</v>
      </c>
      <c r="FD7" t="s">
        <v>528</v>
      </c>
      <c r="FF7" t="s">
        <v>529</v>
      </c>
      <c r="FG7">
        <v>46296</v>
      </c>
      <c r="FH7">
        <v>46301</v>
      </c>
    </row>
    <row r="8" spans="1:164" x14ac:dyDescent="0.3">
      <c r="A8" t="s">
        <v>330</v>
      </c>
      <c r="B8" t="s">
        <v>330</v>
      </c>
      <c r="C8">
        <v>48</v>
      </c>
      <c r="D8">
        <v>48</v>
      </c>
      <c r="E8">
        <v>46295</v>
      </c>
      <c r="F8">
        <v>15000000</v>
      </c>
      <c r="G8">
        <v>15000000</v>
      </c>
      <c r="H8" t="s">
        <v>324</v>
      </c>
      <c r="I8">
        <v>15000000</v>
      </c>
      <c r="J8" t="s">
        <v>363</v>
      </c>
      <c r="K8">
        <v>46301</v>
      </c>
      <c r="L8">
        <v>46301.580972222226</v>
      </c>
      <c r="M8">
        <v>47761</v>
      </c>
      <c r="N8" t="s">
        <v>410</v>
      </c>
      <c r="O8" t="s">
        <v>105</v>
      </c>
      <c r="P8" t="s">
        <v>530</v>
      </c>
      <c r="R8" t="s">
        <v>366</v>
      </c>
      <c r="S8" t="s">
        <v>367</v>
      </c>
      <c r="T8" t="s">
        <v>412</v>
      </c>
      <c r="U8" t="s">
        <v>413</v>
      </c>
      <c r="V8" t="s">
        <v>492</v>
      </c>
      <c r="W8" t="s">
        <v>415</v>
      </c>
      <c r="X8">
        <v>131</v>
      </c>
      <c r="Y8" t="s">
        <v>531</v>
      </c>
      <c r="Z8" t="s">
        <v>532</v>
      </c>
      <c r="AA8" t="s">
        <v>533</v>
      </c>
      <c r="AB8" t="s">
        <v>515</v>
      </c>
      <c r="AE8" t="s">
        <v>516</v>
      </c>
      <c r="AF8" t="s">
        <v>375</v>
      </c>
      <c r="AG8" t="s">
        <v>534</v>
      </c>
      <c r="AH8" t="s">
        <v>534</v>
      </c>
      <c r="AK8">
        <v>0</v>
      </c>
      <c r="AL8" t="s">
        <v>377</v>
      </c>
      <c r="AM8">
        <v>7</v>
      </c>
      <c r="AN8">
        <v>7</v>
      </c>
      <c r="AQ8" t="s">
        <v>378</v>
      </c>
      <c r="AR8" t="s">
        <v>378</v>
      </c>
      <c r="AS8" t="s">
        <v>423</v>
      </c>
      <c r="AT8" t="s">
        <v>380</v>
      </c>
      <c r="AU8" t="s">
        <v>381</v>
      </c>
      <c r="AV8" t="s">
        <v>535</v>
      </c>
      <c r="AW8" t="s">
        <v>536</v>
      </c>
      <c r="AX8">
        <v>205</v>
      </c>
      <c r="AY8">
        <v>0</v>
      </c>
      <c r="AZ8">
        <v>205</v>
      </c>
      <c r="BA8">
        <v>75429000</v>
      </c>
      <c r="BB8" t="s">
        <v>426</v>
      </c>
      <c r="BD8" t="s">
        <v>427</v>
      </c>
      <c r="BE8" t="s">
        <v>427</v>
      </c>
      <c r="BF8">
        <v>44341.683672222222</v>
      </c>
      <c r="BG8">
        <v>15000000</v>
      </c>
      <c r="BH8">
        <v>0</v>
      </c>
      <c r="BI8">
        <v>15000000</v>
      </c>
      <c r="BL8">
        <v>902121</v>
      </c>
      <c r="BM8" t="s">
        <v>537</v>
      </c>
      <c r="BN8" t="s">
        <v>429</v>
      </c>
      <c r="BO8" t="s">
        <v>538</v>
      </c>
      <c r="BP8">
        <v>10006</v>
      </c>
      <c r="BQ8">
        <v>2090</v>
      </c>
      <c r="BR8" t="s">
        <v>431</v>
      </c>
      <c r="BS8" t="s">
        <v>431</v>
      </c>
      <c r="BT8" t="s">
        <v>431</v>
      </c>
      <c r="BU8" t="s">
        <v>432</v>
      </c>
      <c r="BV8">
        <v>1012</v>
      </c>
      <c r="BW8" t="s">
        <v>433</v>
      </c>
      <c r="BX8" t="s">
        <v>392</v>
      </c>
      <c r="BY8">
        <v>46370</v>
      </c>
      <c r="BZ8" t="s">
        <v>431</v>
      </c>
      <c r="CA8">
        <v>46370</v>
      </c>
      <c r="CB8">
        <v>14</v>
      </c>
      <c r="CC8" t="s">
        <v>394</v>
      </c>
      <c r="CD8">
        <v>1001</v>
      </c>
      <c r="CE8" t="s">
        <v>434</v>
      </c>
      <c r="CF8" t="s">
        <v>395</v>
      </c>
      <c r="CG8">
        <v>21006</v>
      </c>
      <c r="CH8" t="s">
        <v>396</v>
      </c>
      <c r="CI8" t="s">
        <v>397</v>
      </c>
      <c r="CJ8" t="s">
        <v>398</v>
      </c>
      <c r="CK8" t="s">
        <v>435</v>
      </c>
      <c r="CL8">
        <v>21025</v>
      </c>
      <c r="CM8">
        <v>1001</v>
      </c>
      <c r="CN8" t="s">
        <v>400</v>
      </c>
      <c r="CO8" t="s">
        <v>522</v>
      </c>
      <c r="CP8" t="s">
        <v>437</v>
      </c>
      <c r="CQ8" t="s">
        <v>402</v>
      </c>
      <c r="CR8" t="s">
        <v>403</v>
      </c>
      <c r="CS8" t="s">
        <v>462</v>
      </c>
      <c r="CW8">
        <v>0</v>
      </c>
      <c r="CX8">
        <v>0</v>
      </c>
      <c r="CY8">
        <v>0</v>
      </c>
      <c r="CZ8" t="s">
        <v>439</v>
      </c>
      <c r="DA8" t="s">
        <v>405</v>
      </c>
      <c r="DB8" t="s">
        <v>539</v>
      </c>
      <c r="DD8" t="s">
        <v>540</v>
      </c>
      <c r="DG8" t="s">
        <v>441</v>
      </c>
      <c r="DH8" t="s">
        <v>441</v>
      </c>
      <c r="DI8" t="s">
        <v>441</v>
      </c>
      <c r="DJ8">
        <v>479470</v>
      </c>
      <c r="DK8">
        <v>46301</v>
      </c>
      <c r="DM8" t="s">
        <v>541</v>
      </c>
      <c r="DO8" t="s">
        <v>542</v>
      </c>
      <c r="DP8" t="s">
        <v>543</v>
      </c>
      <c r="DQ8" t="s">
        <v>409</v>
      </c>
      <c r="DX8">
        <v>1</v>
      </c>
      <c r="DY8">
        <v>7</v>
      </c>
      <c r="DZ8">
        <v>1</v>
      </c>
      <c r="EC8">
        <v>112500</v>
      </c>
      <c r="EG8">
        <v>0</v>
      </c>
      <c r="EH8">
        <v>0</v>
      </c>
      <c r="EI8">
        <v>0</v>
      </c>
      <c r="EJ8">
        <v>0</v>
      </c>
      <c r="EK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2250000</v>
      </c>
      <c r="ES8">
        <v>0</v>
      </c>
      <c r="EU8">
        <v>2250000</v>
      </c>
      <c r="EW8" t="s">
        <v>544</v>
      </c>
      <c r="EX8" t="s">
        <v>448</v>
      </c>
      <c r="EY8">
        <v>34439.629999999997</v>
      </c>
      <c r="EZ8">
        <v>34439.629999999997</v>
      </c>
      <c r="FA8">
        <v>0</v>
      </c>
      <c r="FB8">
        <v>0</v>
      </c>
      <c r="FC8">
        <v>15000000</v>
      </c>
      <c r="FD8" t="s">
        <v>545</v>
      </c>
      <c r="FF8" t="s">
        <v>546</v>
      </c>
      <c r="FG8">
        <v>46296</v>
      </c>
      <c r="FH8">
        <v>46301</v>
      </c>
    </row>
    <row r="9" spans="1:164" x14ac:dyDescent="0.3">
      <c r="A9" t="s">
        <v>331</v>
      </c>
      <c r="B9" t="s">
        <v>331</v>
      </c>
      <c r="C9">
        <v>36</v>
      </c>
      <c r="D9">
        <v>36</v>
      </c>
      <c r="E9">
        <v>46292</v>
      </c>
      <c r="F9">
        <v>7000000</v>
      </c>
      <c r="G9">
        <v>7000000</v>
      </c>
      <c r="H9" t="s">
        <v>324</v>
      </c>
      <c r="I9">
        <v>6936223.5</v>
      </c>
      <c r="J9" t="s">
        <v>468</v>
      </c>
      <c r="K9">
        <v>46296</v>
      </c>
      <c r="L9">
        <v>46296.621689814812</v>
      </c>
      <c r="M9">
        <v>47396</v>
      </c>
      <c r="N9" t="s">
        <v>410</v>
      </c>
      <c r="O9" t="s">
        <v>33</v>
      </c>
      <c r="P9" t="s">
        <v>547</v>
      </c>
      <c r="Q9" t="s">
        <v>25</v>
      </c>
      <c r="R9" t="s">
        <v>366</v>
      </c>
      <c r="S9" t="s">
        <v>367</v>
      </c>
      <c r="T9" t="s">
        <v>412</v>
      </c>
      <c r="U9" t="s">
        <v>413</v>
      </c>
      <c r="V9" t="s">
        <v>492</v>
      </c>
      <c r="W9" t="s">
        <v>371</v>
      </c>
      <c r="X9">
        <v>495</v>
      </c>
      <c r="Y9" t="s">
        <v>470</v>
      </c>
      <c r="Z9" t="s">
        <v>417</v>
      </c>
      <c r="AA9" t="s">
        <v>372</v>
      </c>
      <c r="AB9" t="s">
        <v>496</v>
      </c>
      <c r="AC9">
        <v>1</v>
      </c>
      <c r="AD9" t="s">
        <v>497</v>
      </c>
      <c r="AE9" t="s">
        <v>548</v>
      </c>
      <c r="AF9" t="s">
        <v>421</v>
      </c>
      <c r="AG9" t="s">
        <v>549</v>
      </c>
      <c r="AH9" t="s">
        <v>549</v>
      </c>
      <c r="AK9">
        <v>0</v>
      </c>
      <c r="AL9" t="s">
        <v>377</v>
      </c>
      <c r="AM9">
        <v>15.99</v>
      </c>
      <c r="AN9">
        <v>15.99</v>
      </c>
      <c r="AQ9" t="s">
        <v>378</v>
      </c>
      <c r="AR9" t="s">
        <v>378</v>
      </c>
      <c r="AS9" t="s">
        <v>423</v>
      </c>
      <c r="AT9" t="s">
        <v>380</v>
      </c>
      <c r="AU9" t="s">
        <v>474</v>
      </c>
      <c r="AV9" t="s">
        <v>550</v>
      </c>
      <c r="AW9" t="s">
        <v>551</v>
      </c>
      <c r="AX9">
        <v>4</v>
      </c>
      <c r="AY9">
        <v>0</v>
      </c>
      <c r="AZ9">
        <v>4</v>
      </c>
      <c r="BA9">
        <v>1562247</v>
      </c>
      <c r="BB9" t="s">
        <v>426</v>
      </c>
      <c r="BD9" t="s">
        <v>427</v>
      </c>
      <c r="BE9" t="s">
        <v>427</v>
      </c>
      <c r="BF9">
        <v>44451.721650613428</v>
      </c>
      <c r="BG9">
        <v>7000000</v>
      </c>
      <c r="BH9">
        <v>0</v>
      </c>
      <c r="BI9">
        <v>7000000</v>
      </c>
      <c r="BL9">
        <v>903040</v>
      </c>
      <c r="BM9" t="s">
        <v>552</v>
      </c>
      <c r="BN9" t="s">
        <v>429</v>
      </c>
      <c r="BO9" t="s">
        <v>502</v>
      </c>
      <c r="BP9">
        <v>1</v>
      </c>
      <c r="BQ9">
        <v>8111</v>
      </c>
      <c r="BR9" t="s">
        <v>389</v>
      </c>
      <c r="BS9" t="s">
        <v>389</v>
      </c>
      <c r="BT9" t="s">
        <v>389</v>
      </c>
      <c r="BU9" t="s">
        <v>553</v>
      </c>
      <c r="BV9">
        <v>1012</v>
      </c>
      <c r="BW9" t="s">
        <v>433</v>
      </c>
      <c r="BX9" t="s">
        <v>392</v>
      </c>
      <c r="BY9">
        <v>46370</v>
      </c>
      <c r="BZ9" t="s">
        <v>503</v>
      </c>
      <c r="CA9">
        <v>46370</v>
      </c>
      <c r="CB9">
        <v>14</v>
      </c>
      <c r="CC9" t="s">
        <v>394</v>
      </c>
      <c r="CD9">
        <v>1001</v>
      </c>
      <c r="CE9" t="s">
        <v>434</v>
      </c>
      <c r="CF9" t="s">
        <v>395</v>
      </c>
      <c r="CG9">
        <v>21006</v>
      </c>
      <c r="CH9" t="s">
        <v>396</v>
      </c>
      <c r="CI9" t="s">
        <v>397</v>
      </c>
      <c r="CJ9" t="s">
        <v>398</v>
      </c>
      <c r="CK9" t="s">
        <v>435</v>
      </c>
      <c r="CL9">
        <v>21025</v>
      </c>
      <c r="CM9">
        <v>1001</v>
      </c>
      <c r="CN9" t="s">
        <v>400</v>
      </c>
      <c r="CO9" t="s">
        <v>552</v>
      </c>
      <c r="CP9" t="s">
        <v>401</v>
      </c>
      <c r="CQ9" t="s">
        <v>402</v>
      </c>
      <c r="CR9" t="s">
        <v>403</v>
      </c>
      <c r="CS9" t="s">
        <v>441</v>
      </c>
      <c r="CW9">
        <v>0</v>
      </c>
      <c r="CX9">
        <v>0</v>
      </c>
      <c r="CY9">
        <v>0</v>
      </c>
      <c r="CZ9" t="s">
        <v>404</v>
      </c>
      <c r="DA9" t="s">
        <v>405</v>
      </c>
      <c r="DD9" t="s">
        <v>554</v>
      </c>
      <c r="DG9" t="s">
        <v>441</v>
      </c>
      <c r="DH9" t="s">
        <v>441</v>
      </c>
      <c r="DI9" t="s">
        <v>441</v>
      </c>
      <c r="DJ9">
        <v>479111</v>
      </c>
      <c r="DK9">
        <v>46296</v>
      </c>
      <c r="DM9" t="s">
        <v>555</v>
      </c>
      <c r="DO9" t="s">
        <v>556</v>
      </c>
      <c r="DP9" t="s">
        <v>557</v>
      </c>
      <c r="DQ9" t="s">
        <v>558</v>
      </c>
      <c r="DV9">
        <v>30375</v>
      </c>
      <c r="DW9">
        <v>43</v>
      </c>
      <c r="DX9">
        <v>1</v>
      </c>
      <c r="DY9">
        <v>22</v>
      </c>
      <c r="DZ9">
        <v>1</v>
      </c>
      <c r="EA9" t="s">
        <v>389</v>
      </c>
      <c r="EB9" t="s">
        <v>389</v>
      </c>
      <c r="EC9">
        <v>35000</v>
      </c>
      <c r="EG9">
        <v>0</v>
      </c>
      <c r="EH9">
        <v>0</v>
      </c>
      <c r="EI9">
        <v>0</v>
      </c>
      <c r="EJ9">
        <v>700000</v>
      </c>
      <c r="EK9">
        <v>0</v>
      </c>
      <c r="EL9" t="s">
        <v>559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 t="s">
        <v>560</v>
      </c>
      <c r="EU9">
        <v>700000</v>
      </c>
      <c r="EW9" t="s">
        <v>393</v>
      </c>
      <c r="EX9" t="s">
        <v>487</v>
      </c>
      <c r="EY9">
        <v>15092</v>
      </c>
      <c r="EZ9">
        <v>15092</v>
      </c>
      <c r="FA9">
        <v>63776.5</v>
      </c>
      <c r="FB9">
        <v>0</v>
      </c>
      <c r="FC9">
        <v>7000000</v>
      </c>
      <c r="FD9" t="s">
        <v>561</v>
      </c>
      <c r="FF9" t="s">
        <v>562</v>
      </c>
      <c r="FG9">
        <v>46296</v>
      </c>
      <c r="FH9">
        <v>46301</v>
      </c>
    </row>
    <row r="10" spans="1:164" x14ac:dyDescent="0.3">
      <c r="A10" t="s">
        <v>332</v>
      </c>
      <c r="B10" t="s">
        <v>332</v>
      </c>
      <c r="C10">
        <v>12</v>
      </c>
      <c r="D10">
        <v>12</v>
      </c>
      <c r="E10">
        <v>46292</v>
      </c>
      <c r="F10">
        <v>3000000</v>
      </c>
      <c r="G10">
        <v>3000000</v>
      </c>
      <c r="H10" t="s">
        <v>324</v>
      </c>
      <c r="I10">
        <v>3000000</v>
      </c>
      <c r="J10" t="s">
        <v>468</v>
      </c>
      <c r="K10">
        <v>46296</v>
      </c>
      <c r="L10">
        <v>46296.641701388886</v>
      </c>
      <c r="M10">
        <v>46665</v>
      </c>
      <c r="N10" t="s">
        <v>410</v>
      </c>
      <c r="O10" t="s">
        <v>69</v>
      </c>
      <c r="P10" t="s">
        <v>563</v>
      </c>
      <c r="R10" t="s">
        <v>366</v>
      </c>
      <c r="S10" t="s">
        <v>367</v>
      </c>
      <c r="T10" t="s">
        <v>412</v>
      </c>
      <c r="U10" t="s">
        <v>413</v>
      </c>
      <c r="V10" t="s">
        <v>414</v>
      </c>
      <c r="W10" t="s">
        <v>371</v>
      </c>
      <c r="X10">
        <v>537</v>
      </c>
      <c r="Y10" t="s">
        <v>564</v>
      </c>
      <c r="AA10" t="s">
        <v>565</v>
      </c>
      <c r="AB10" t="s">
        <v>471</v>
      </c>
      <c r="AC10">
        <v>1</v>
      </c>
      <c r="AD10" t="s">
        <v>497</v>
      </c>
      <c r="AE10" t="s">
        <v>548</v>
      </c>
      <c r="AF10" t="s">
        <v>421</v>
      </c>
      <c r="AG10" t="s">
        <v>566</v>
      </c>
      <c r="AH10" t="s">
        <v>566</v>
      </c>
      <c r="AK10">
        <v>0</v>
      </c>
      <c r="AL10" t="s">
        <v>377</v>
      </c>
      <c r="AM10">
        <v>9</v>
      </c>
      <c r="AN10">
        <v>9</v>
      </c>
      <c r="AQ10" t="s">
        <v>378</v>
      </c>
      <c r="AR10" t="s">
        <v>378</v>
      </c>
      <c r="AS10" t="s">
        <v>423</v>
      </c>
      <c r="AT10" t="s">
        <v>380</v>
      </c>
      <c r="AU10" t="s">
        <v>381</v>
      </c>
      <c r="AV10" t="s">
        <v>567</v>
      </c>
      <c r="AW10" t="s">
        <v>568</v>
      </c>
      <c r="AX10">
        <v>4</v>
      </c>
      <c r="AY10">
        <v>0</v>
      </c>
      <c r="AZ10">
        <v>4</v>
      </c>
      <c r="BA10">
        <v>283500</v>
      </c>
      <c r="BB10" t="s">
        <v>426</v>
      </c>
      <c r="BD10" t="s">
        <v>427</v>
      </c>
      <c r="BE10" t="s">
        <v>427</v>
      </c>
      <c r="BF10">
        <v>44886</v>
      </c>
      <c r="BG10">
        <v>3000000</v>
      </c>
      <c r="BH10">
        <v>0</v>
      </c>
      <c r="BI10">
        <v>3000000</v>
      </c>
      <c r="BL10">
        <v>903040</v>
      </c>
      <c r="BM10" t="s">
        <v>552</v>
      </c>
      <c r="BN10" t="s">
        <v>429</v>
      </c>
      <c r="BO10" t="s">
        <v>569</v>
      </c>
      <c r="BP10">
        <v>10001</v>
      </c>
      <c r="BQ10">
        <v>8111</v>
      </c>
      <c r="BR10" t="s">
        <v>389</v>
      </c>
      <c r="BS10" t="s">
        <v>389</v>
      </c>
      <c r="BT10" t="s">
        <v>389</v>
      </c>
      <c r="BU10" t="s">
        <v>553</v>
      </c>
      <c r="BV10">
        <v>1012</v>
      </c>
      <c r="BW10" t="s">
        <v>433</v>
      </c>
      <c r="BX10" t="s">
        <v>392</v>
      </c>
      <c r="BY10">
        <v>46370</v>
      </c>
      <c r="BZ10" t="s">
        <v>503</v>
      </c>
      <c r="CA10">
        <v>46370</v>
      </c>
      <c r="CB10">
        <v>14</v>
      </c>
      <c r="CC10" t="s">
        <v>394</v>
      </c>
      <c r="CD10">
        <v>1001</v>
      </c>
      <c r="CE10" t="s">
        <v>434</v>
      </c>
      <c r="CF10" t="s">
        <v>478</v>
      </c>
      <c r="CG10">
        <v>21080</v>
      </c>
      <c r="CH10" t="s">
        <v>479</v>
      </c>
      <c r="CI10" t="s">
        <v>480</v>
      </c>
      <c r="CJ10" t="s">
        <v>478</v>
      </c>
      <c r="CK10" t="s">
        <v>435</v>
      </c>
      <c r="CL10">
        <v>21081</v>
      </c>
      <c r="CM10">
        <v>1001</v>
      </c>
      <c r="CN10" t="s">
        <v>400</v>
      </c>
      <c r="CO10" t="s">
        <v>552</v>
      </c>
      <c r="CP10" t="s">
        <v>401</v>
      </c>
      <c r="CQ10" t="s">
        <v>402</v>
      </c>
      <c r="CR10" t="s">
        <v>403</v>
      </c>
      <c r="CS10" t="s">
        <v>570</v>
      </c>
      <c r="CW10">
        <v>0</v>
      </c>
      <c r="CX10">
        <v>0</v>
      </c>
      <c r="CY10">
        <v>0</v>
      </c>
      <c r="CZ10" t="s">
        <v>404</v>
      </c>
      <c r="DA10" t="s">
        <v>471</v>
      </c>
      <c r="DG10" t="s">
        <v>441</v>
      </c>
      <c r="DH10" t="s">
        <v>441</v>
      </c>
      <c r="DI10" t="s">
        <v>441</v>
      </c>
      <c r="DJ10">
        <v>479115</v>
      </c>
      <c r="DK10">
        <v>46296</v>
      </c>
      <c r="DM10" t="s">
        <v>571</v>
      </c>
      <c r="DO10" t="s">
        <v>572</v>
      </c>
      <c r="DP10" t="s">
        <v>408</v>
      </c>
      <c r="DQ10" t="s">
        <v>409</v>
      </c>
      <c r="DV10">
        <v>29952</v>
      </c>
      <c r="DW10">
        <v>44</v>
      </c>
      <c r="DX10">
        <v>1</v>
      </c>
      <c r="DY10">
        <v>40</v>
      </c>
      <c r="DZ10">
        <v>1</v>
      </c>
      <c r="EA10" t="s">
        <v>389</v>
      </c>
      <c r="EB10" t="s">
        <v>389</v>
      </c>
      <c r="EC10">
        <v>22500</v>
      </c>
      <c r="EG10">
        <v>0</v>
      </c>
      <c r="EH10">
        <v>0</v>
      </c>
      <c r="EI10">
        <v>0</v>
      </c>
      <c r="EJ10">
        <v>0</v>
      </c>
      <c r="EK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300000</v>
      </c>
      <c r="ES10">
        <v>0</v>
      </c>
      <c r="EU10">
        <v>300000</v>
      </c>
      <c r="EW10" t="s">
        <v>393</v>
      </c>
      <c r="EX10" t="s">
        <v>487</v>
      </c>
      <c r="EY10">
        <v>9487.5</v>
      </c>
      <c r="EZ10">
        <v>9487.5</v>
      </c>
      <c r="FA10">
        <v>0</v>
      </c>
      <c r="FB10">
        <v>0</v>
      </c>
      <c r="FC10">
        <v>3000000</v>
      </c>
      <c r="FD10" t="s">
        <v>573</v>
      </c>
      <c r="FF10" t="s">
        <v>574</v>
      </c>
      <c r="FG10">
        <v>46296</v>
      </c>
      <c r="FH10">
        <v>46301</v>
      </c>
    </row>
    <row r="11" spans="1:164" x14ac:dyDescent="0.3">
      <c r="A11" t="s">
        <v>333</v>
      </c>
      <c r="B11" t="s">
        <v>333</v>
      </c>
      <c r="C11">
        <v>18</v>
      </c>
      <c r="D11">
        <v>18</v>
      </c>
      <c r="E11">
        <v>46292</v>
      </c>
      <c r="F11">
        <v>2000000</v>
      </c>
      <c r="G11">
        <v>2000000</v>
      </c>
      <c r="H11" t="s">
        <v>328</v>
      </c>
      <c r="I11">
        <v>1155114.81</v>
      </c>
      <c r="J11" t="s">
        <v>468</v>
      </c>
      <c r="K11">
        <v>46300</v>
      </c>
      <c r="L11">
        <v>46300.679502314815</v>
      </c>
      <c r="M11">
        <v>46848</v>
      </c>
      <c r="N11" t="s">
        <v>410</v>
      </c>
      <c r="O11" t="s">
        <v>29</v>
      </c>
      <c r="P11" t="s">
        <v>575</v>
      </c>
      <c r="R11" t="s">
        <v>366</v>
      </c>
      <c r="S11" t="s">
        <v>367</v>
      </c>
      <c r="T11" t="s">
        <v>576</v>
      </c>
      <c r="U11" t="s">
        <v>577</v>
      </c>
      <c r="V11" t="s">
        <v>414</v>
      </c>
      <c r="W11" t="s">
        <v>371</v>
      </c>
      <c r="X11">
        <v>547</v>
      </c>
      <c r="Y11" t="s">
        <v>578</v>
      </c>
      <c r="AA11" t="s">
        <v>373</v>
      </c>
      <c r="AB11" t="s">
        <v>496</v>
      </c>
      <c r="AC11">
        <v>1</v>
      </c>
      <c r="AD11" t="s">
        <v>497</v>
      </c>
      <c r="AE11" t="s">
        <v>374</v>
      </c>
      <c r="AF11" t="s">
        <v>421</v>
      </c>
      <c r="AG11" t="s">
        <v>579</v>
      </c>
      <c r="AH11" t="s">
        <v>579</v>
      </c>
      <c r="AK11">
        <v>0</v>
      </c>
      <c r="AL11" t="s">
        <v>377</v>
      </c>
      <c r="AM11">
        <v>15.99</v>
      </c>
      <c r="AN11">
        <v>15.99</v>
      </c>
      <c r="AQ11" t="s">
        <v>378</v>
      </c>
      <c r="AR11" t="s">
        <v>378</v>
      </c>
      <c r="AS11" t="s">
        <v>423</v>
      </c>
      <c r="AT11" t="s">
        <v>380</v>
      </c>
      <c r="AU11" t="s">
        <v>474</v>
      </c>
      <c r="AV11" t="s">
        <v>580</v>
      </c>
      <c r="AW11" t="s">
        <v>581</v>
      </c>
      <c r="AX11">
        <v>2</v>
      </c>
      <c r="AY11">
        <v>0</v>
      </c>
      <c r="AZ11">
        <v>2</v>
      </c>
      <c r="BA11">
        <v>637729</v>
      </c>
      <c r="BB11" t="s">
        <v>426</v>
      </c>
      <c r="BD11" t="s">
        <v>427</v>
      </c>
      <c r="BE11" t="s">
        <v>427</v>
      </c>
      <c r="BF11">
        <v>45012</v>
      </c>
      <c r="BG11">
        <v>2000000</v>
      </c>
      <c r="BH11">
        <v>0</v>
      </c>
      <c r="BI11">
        <v>2000000</v>
      </c>
      <c r="BL11">
        <v>903050</v>
      </c>
      <c r="BM11" t="s">
        <v>387</v>
      </c>
      <c r="BN11" t="s">
        <v>429</v>
      </c>
      <c r="BO11" t="s">
        <v>569</v>
      </c>
      <c r="BP11">
        <v>10001</v>
      </c>
      <c r="BQ11">
        <v>8112</v>
      </c>
      <c r="BR11" t="s">
        <v>389</v>
      </c>
      <c r="BS11" t="s">
        <v>389</v>
      </c>
      <c r="BT11" t="s">
        <v>389</v>
      </c>
      <c r="BU11" t="s">
        <v>390</v>
      </c>
      <c r="BV11">
        <v>1012</v>
      </c>
      <c r="BW11" t="s">
        <v>433</v>
      </c>
      <c r="BX11" t="s">
        <v>392</v>
      </c>
      <c r="BY11">
        <v>46370</v>
      </c>
      <c r="BZ11" t="s">
        <v>503</v>
      </c>
      <c r="CA11">
        <v>46370</v>
      </c>
      <c r="CB11">
        <v>14</v>
      </c>
      <c r="CC11" t="s">
        <v>394</v>
      </c>
      <c r="CD11">
        <v>1001</v>
      </c>
      <c r="CE11" t="s">
        <v>434</v>
      </c>
      <c r="CF11" t="s">
        <v>395</v>
      </c>
      <c r="CG11">
        <v>21006</v>
      </c>
      <c r="CH11" t="s">
        <v>396</v>
      </c>
      <c r="CI11" t="s">
        <v>397</v>
      </c>
      <c r="CJ11" t="s">
        <v>398</v>
      </c>
      <c r="CK11" t="s">
        <v>435</v>
      </c>
      <c r="CL11">
        <v>21025</v>
      </c>
      <c r="CM11">
        <v>1001</v>
      </c>
      <c r="CN11" t="s">
        <v>400</v>
      </c>
      <c r="CO11" t="s">
        <v>387</v>
      </c>
      <c r="CP11" t="s">
        <v>401</v>
      </c>
      <c r="CQ11" t="s">
        <v>402</v>
      </c>
      <c r="CR11" t="s">
        <v>403</v>
      </c>
      <c r="CS11" t="s">
        <v>441</v>
      </c>
      <c r="CW11">
        <v>1316554.31</v>
      </c>
      <c r="CX11">
        <v>1316554.31</v>
      </c>
      <c r="CY11">
        <v>1316554.31</v>
      </c>
      <c r="CZ11" t="s">
        <v>404</v>
      </c>
      <c r="DA11" t="s">
        <v>405</v>
      </c>
      <c r="DG11" t="s">
        <v>441</v>
      </c>
      <c r="DH11" t="s">
        <v>441</v>
      </c>
      <c r="DI11" t="s">
        <v>441</v>
      </c>
      <c r="DJ11">
        <v>479403</v>
      </c>
      <c r="DK11">
        <v>46300</v>
      </c>
      <c r="DM11" t="s">
        <v>582</v>
      </c>
      <c r="DO11" t="s">
        <v>583</v>
      </c>
      <c r="DP11" t="s">
        <v>584</v>
      </c>
      <c r="DQ11" t="s">
        <v>558</v>
      </c>
      <c r="DV11">
        <v>31091</v>
      </c>
      <c r="DW11">
        <v>41</v>
      </c>
      <c r="DX11">
        <v>1</v>
      </c>
      <c r="DY11">
        <v>48</v>
      </c>
      <c r="DZ11">
        <v>1</v>
      </c>
      <c r="EA11" t="s">
        <v>389</v>
      </c>
      <c r="EB11" t="s">
        <v>389</v>
      </c>
      <c r="EC11">
        <v>20000</v>
      </c>
      <c r="EG11">
        <v>125703</v>
      </c>
      <c r="EH11">
        <v>0</v>
      </c>
      <c r="EI11">
        <v>0</v>
      </c>
      <c r="EJ11">
        <v>0</v>
      </c>
      <c r="EK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U11">
        <v>0</v>
      </c>
      <c r="EW11" t="s">
        <v>393</v>
      </c>
      <c r="EX11" t="s">
        <v>487</v>
      </c>
      <c r="EY11">
        <v>6325</v>
      </c>
      <c r="EZ11">
        <v>6325</v>
      </c>
      <c r="FA11">
        <v>161439.5</v>
      </c>
      <c r="FB11">
        <v>0</v>
      </c>
      <c r="FC11">
        <v>1316554</v>
      </c>
      <c r="FD11" t="s">
        <v>585</v>
      </c>
      <c r="FF11" t="s">
        <v>586</v>
      </c>
      <c r="FG11">
        <v>46296</v>
      </c>
      <c r="FH11">
        <v>46301</v>
      </c>
    </row>
    <row r="12" spans="1:164" x14ac:dyDescent="0.3">
      <c r="A12" t="s">
        <v>334</v>
      </c>
      <c r="B12" t="s">
        <v>334</v>
      </c>
      <c r="C12">
        <v>30</v>
      </c>
      <c r="D12">
        <v>30</v>
      </c>
      <c r="E12">
        <v>46289</v>
      </c>
      <c r="F12">
        <v>10000000</v>
      </c>
      <c r="G12">
        <v>10000000</v>
      </c>
      <c r="H12" t="s">
        <v>328</v>
      </c>
      <c r="I12">
        <v>6917146.4900000002</v>
      </c>
      <c r="J12" t="s">
        <v>468</v>
      </c>
      <c r="K12">
        <v>46300</v>
      </c>
      <c r="L12">
        <v>46300.558518518519</v>
      </c>
      <c r="M12">
        <v>47213</v>
      </c>
      <c r="N12" t="s">
        <v>410</v>
      </c>
      <c r="O12" t="s">
        <v>61</v>
      </c>
      <c r="P12" t="s">
        <v>451</v>
      </c>
      <c r="R12" t="s">
        <v>366</v>
      </c>
      <c r="S12" t="s">
        <v>367</v>
      </c>
      <c r="T12" t="s">
        <v>587</v>
      </c>
      <c r="U12" t="s">
        <v>588</v>
      </c>
      <c r="V12" t="s">
        <v>492</v>
      </c>
      <c r="W12" t="s">
        <v>371</v>
      </c>
      <c r="X12">
        <v>547</v>
      </c>
      <c r="Y12" t="s">
        <v>578</v>
      </c>
      <c r="AA12" t="s">
        <v>373</v>
      </c>
      <c r="AB12" t="s">
        <v>496</v>
      </c>
      <c r="AC12">
        <v>1</v>
      </c>
      <c r="AD12" t="s">
        <v>497</v>
      </c>
      <c r="AE12" t="s">
        <v>374</v>
      </c>
      <c r="AF12" t="s">
        <v>421</v>
      </c>
      <c r="AG12" t="s">
        <v>589</v>
      </c>
      <c r="AH12" t="s">
        <v>589</v>
      </c>
      <c r="AK12">
        <v>0</v>
      </c>
      <c r="AL12" t="s">
        <v>377</v>
      </c>
      <c r="AM12">
        <v>14.99</v>
      </c>
      <c r="AN12">
        <v>14.99</v>
      </c>
      <c r="AQ12" t="s">
        <v>378</v>
      </c>
      <c r="AR12" t="s">
        <v>378</v>
      </c>
      <c r="AS12" t="s">
        <v>423</v>
      </c>
      <c r="AT12" t="s">
        <v>380</v>
      </c>
      <c r="AU12" t="s">
        <v>381</v>
      </c>
      <c r="AV12" t="s">
        <v>590</v>
      </c>
      <c r="AW12" t="s">
        <v>591</v>
      </c>
      <c r="AX12">
        <v>12</v>
      </c>
      <c r="AY12">
        <v>0</v>
      </c>
      <c r="AZ12">
        <v>12</v>
      </c>
      <c r="BA12">
        <v>2430000</v>
      </c>
      <c r="BB12" t="s">
        <v>426</v>
      </c>
      <c r="BD12" t="s">
        <v>427</v>
      </c>
      <c r="BE12" t="s">
        <v>427</v>
      </c>
      <c r="BF12">
        <v>44873</v>
      </c>
      <c r="BG12">
        <v>10000000</v>
      </c>
      <c r="BH12">
        <v>0</v>
      </c>
      <c r="BI12">
        <v>10000000</v>
      </c>
      <c r="BL12">
        <v>903050</v>
      </c>
      <c r="BM12" t="s">
        <v>387</v>
      </c>
      <c r="BN12" t="s">
        <v>429</v>
      </c>
      <c r="BO12" t="s">
        <v>502</v>
      </c>
      <c r="BP12">
        <v>1</v>
      </c>
      <c r="BQ12">
        <v>8112</v>
      </c>
      <c r="BR12" t="s">
        <v>389</v>
      </c>
      <c r="BS12" t="s">
        <v>389</v>
      </c>
      <c r="BT12" t="s">
        <v>389</v>
      </c>
      <c r="BU12" t="s">
        <v>390</v>
      </c>
      <c r="BV12">
        <v>1012</v>
      </c>
      <c r="BW12" t="s">
        <v>433</v>
      </c>
      <c r="BX12" t="s">
        <v>392</v>
      </c>
      <c r="BY12">
        <v>46370</v>
      </c>
      <c r="BZ12" t="s">
        <v>503</v>
      </c>
      <c r="CA12">
        <v>46370</v>
      </c>
      <c r="CB12">
        <v>14</v>
      </c>
      <c r="CC12" t="s">
        <v>394</v>
      </c>
      <c r="CD12">
        <v>1001</v>
      </c>
      <c r="CE12" t="s">
        <v>434</v>
      </c>
      <c r="CF12" t="s">
        <v>395</v>
      </c>
      <c r="CG12">
        <v>21006</v>
      </c>
      <c r="CH12" t="s">
        <v>396</v>
      </c>
      <c r="CI12" t="s">
        <v>397</v>
      </c>
      <c r="CJ12" t="s">
        <v>398</v>
      </c>
      <c r="CK12" t="s">
        <v>435</v>
      </c>
      <c r="CL12">
        <v>21025</v>
      </c>
      <c r="CM12">
        <v>1001</v>
      </c>
      <c r="CN12" t="s">
        <v>400</v>
      </c>
      <c r="CO12" t="s">
        <v>387</v>
      </c>
      <c r="CP12" t="s">
        <v>401</v>
      </c>
      <c r="CQ12" t="s">
        <v>402</v>
      </c>
      <c r="CR12" t="s">
        <v>403</v>
      </c>
      <c r="CS12" t="s">
        <v>441</v>
      </c>
      <c r="CW12">
        <v>7002447.9900000002</v>
      </c>
      <c r="CX12">
        <v>7002447.9900000002</v>
      </c>
      <c r="CY12">
        <v>7002447.9900000002</v>
      </c>
      <c r="CZ12" t="s">
        <v>404</v>
      </c>
      <c r="DA12" t="s">
        <v>405</v>
      </c>
      <c r="DD12" t="s">
        <v>409</v>
      </c>
      <c r="DG12" t="s">
        <v>441</v>
      </c>
      <c r="DH12" t="s">
        <v>441</v>
      </c>
      <c r="DI12" t="s">
        <v>441</v>
      </c>
      <c r="DJ12">
        <v>479386</v>
      </c>
      <c r="DK12">
        <v>46300</v>
      </c>
      <c r="DM12" t="s">
        <v>592</v>
      </c>
      <c r="DO12" t="s">
        <v>593</v>
      </c>
      <c r="DP12" t="s">
        <v>408</v>
      </c>
      <c r="DQ12" t="s">
        <v>409</v>
      </c>
      <c r="DV12">
        <v>31539</v>
      </c>
      <c r="DW12">
        <v>40</v>
      </c>
      <c r="DX12">
        <v>1</v>
      </c>
      <c r="DY12">
        <v>14</v>
      </c>
      <c r="DZ12">
        <v>1</v>
      </c>
      <c r="EA12" t="s">
        <v>389</v>
      </c>
      <c r="EB12" t="s">
        <v>389</v>
      </c>
      <c r="EC12">
        <v>50000</v>
      </c>
      <c r="EG12">
        <v>0</v>
      </c>
      <c r="EH12">
        <v>0</v>
      </c>
      <c r="EI12">
        <v>0</v>
      </c>
      <c r="EJ12">
        <v>900000</v>
      </c>
      <c r="EK12">
        <v>0</v>
      </c>
      <c r="EL12" t="s">
        <v>594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 t="s">
        <v>560</v>
      </c>
      <c r="EU12">
        <v>900000</v>
      </c>
      <c r="EW12" t="s">
        <v>393</v>
      </c>
      <c r="EX12" t="s">
        <v>487</v>
      </c>
      <c r="EY12">
        <v>18975</v>
      </c>
      <c r="EZ12">
        <v>18975</v>
      </c>
      <c r="FA12">
        <v>85301.5</v>
      </c>
      <c r="FB12">
        <v>0</v>
      </c>
      <c r="FC12">
        <v>7002448</v>
      </c>
      <c r="FD12" t="s">
        <v>595</v>
      </c>
      <c r="FF12" t="s">
        <v>596</v>
      </c>
      <c r="FG12">
        <v>46296</v>
      </c>
      <c r="FH12">
        <v>46301</v>
      </c>
    </row>
    <row r="13" spans="1:164" x14ac:dyDescent="0.3">
      <c r="A13" t="s">
        <v>335</v>
      </c>
      <c r="B13" t="s">
        <v>335</v>
      </c>
      <c r="C13">
        <v>12</v>
      </c>
      <c r="D13">
        <v>12</v>
      </c>
      <c r="E13">
        <v>46294</v>
      </c>
      <c r="F13">
        <v>9000000</v>
      </c>
      <c r="G13">
        <v>9000000</v>
      </c>
      <c r="H13" t="s">
        <v>324</v>
      </c>
      <c r="I13">
        <v>9000000</v>
      </c>
      <c r="J13" t="s">
        <v>468</v>
      </c>
      <c r="K13">
        <v>46299</v>
      </c>
      <c r="L13">
        <v>46299.507511574076</v>
      </c>
      <c r="M13">
        <v>46661</v>
      </c>
      <c r="N13" t="s">
        <v>410</v>
      </c>
      <c r="O13" t="s">
        <v>105</v>
      </c>
      <c r="P13" t="s">
        <v>530</v>
      </c>
      <c r="R13" t="s">
        <v>366</v>
      </c>
      <c r="S13" t="s">
        <v>367</v>
      </c>
      <c r="T13" t="s">
        <v>597</v>
      </c>
      <c r="U13" t="s">
        <v>598</v>
      </c>
      <c r="V13" t="s">
        <v>414</v>
      </c>
      <c r="W13" t="s">
        <v>371</v>
      </c>
      <c r="X13">
        <v>47</v>
      </c>
      <c r="Y13" t="s">
        <v>493</v>
      </c>
      <c r="Z13" t="s">
        <v>494</v>
      </c>
      <c r="AA13" t="s">
        <v>495</v>
      </c>
      <c r="AB13" t="s">
        <v>471</v>
      </c>
      <c r="AC13">
        <v>1</v>
      </c>
      <c r="AD13" t="s">
        <v>497</v>
      </c>
      <c r="AE13" t="s">
        <v>548</v>
      </c>
      <c r="AF13" t="s">
        <v>421</v>
      </c>
      <c r="AG13" t="s">
        <v>599</v>
      </c>
      <c r="AH13" t="s">
        <v>599</v>
      </c>
      <c r="AK13">
        <v>0</v>
      </c>
      <c r="AL13" t="s">
        <v>377</v>
      </c>
      <c r="AM13">
        <v>9</v>
      </c>
      <c r="AN13">
        <v>9</v>
      </c>
      <c r="AQ13" t="s">
        <v>378</v>
      </c>
      <c r="AR13" t="s">
        <v>378</v>
      </c>
      <c r="AS13" t="s">
        <v>423</v>
      </c>
      <c r="AT13" t="s">
        <v>380</v>
      </c>
      <c r="AU13" t="s">
        <v>381</v>
      </c>
      <c r="AV13" t="s">
        <v>600</v>
      </c>
      <c r="AW13" t="s">
        <v>601</v>
      </c>
      <c r="AX13">
        <v>5</v>
      </c>
      <c r="AY13">
        <v>0</v>
      </c>
      <c r="AZ13">
        <v>5</v>
      </c>
      <c r="BA13">
        <v>218700</v>
      </c>
      <c r="BB13" t="s">
        <v>384</v>
      </c>
      <c r="BD13" t="s">
        <v>427</v>
      </c>
      <c r="BE13" t="s">
        <v>427</v>
      </c>
      <c r="BF13">
        <v>46008</v>
      </c>
      <c r="BG13">
        <v>9000000</v>
      </c>
      <c r="BH13">
        <v>0</v>
      </c>
      <c r="BI13">
        <v>9000000</v>
      </c>
      <c r="BL13">
        <v>903040</v>
      </c>
      <c r="BM13" t="s">
        <v>552</v>
      </c>
      <c r="BN13" t="s">
        <v>429</v>
      </c>
      <c r="BO13" t="s">
        <v>569</v>
      </c>
      <c r="BP13">
        <v>10001</v>
      </c>
      <c r="BQ13">
        <v>8111</v>
      </c>
      <c r="BR13" t="s">
        <v>389</v>
      </c>
      <c r="BS13" t="s">
        <v>389</v>
      </c>
      <c r="BT13" t="s">
        <v>389</v>
      </c>
      <c r="BU13" t="s">
        <v>553</v>
      </c>
      <c r="BV13">
        <v>1012</v>
      </c>
      <c r="BW13" t="s">
        <v>433</v>
      </c>
      <c r="BX13" t="s">
        <v>392</v>
      </c>
      <c r="BY13">
        <v>46370</v>
      </c>
      <c r="BZ13" t="s">
        <v>503</v>
      </c>
      <c r="CA13">
        <v>46370</v>
      </c>
      <c r="CB13">
        <v>14</v>
      </c>
      <c r="CC13" t="s">
        <v>394</v>
      </c>
      <c r="CD13">
        <v>1001</v>
      </c>
      <c r="CE13" t="s">
        <v>434</v>
      </c>
      <c r="CF13" t="s">
        <v>478</v>
      </c>
      <c r="CG13">
        <v>21080</v>
      </c>
      <c r="CH13" t="s">
        <v>479</v>
      </c>
      <c r="CI13" t="s">
        <v>480</v>
      </c>
      <c r="CJ13" t="s">
        <v>478</v>
      </c>
      <c r="CK13" t="s">
        <v>435</v>
      </c>
      <c r="CL13">
        <v>21081</v>
      </c>
      <c r="CM13">
        <v>1001</v>
      </c>
      <c r="CN13" t="s">
        <v>400</v>
      </c>
      <c r="CO13" t="s">
        <v>552</v>
      </c>
      <c r="CP13" t="s">
        <v>401</v>
      </c>
      <c r="CQ13" t="s">
        <v>402</v>
      </c>
      <c r="CR13" t="s">
        <v>403</v>
      </c>
      <c r="CS13" t="s">
        <v>570</v>
      </c>
      <c r="CW13">
        <v>0</v>
      </c>
      <c r="CX13">
        <v>0</v>
      </c>
      <c r="CY13">
        <v>0</v>
      </c>
      <c r="CZ13" t="s">
        <v>404</v>
      </c>
      <c r="DA13" t="s">
        <v>471</v>
      </c>
      <c r="DD13" t="s">
        <v>409</v>
      </c>
      <c r="DG13" t="s">
        <v>441</v>
      </c>
      <c r="DH13" t="s">
        <v>441</v>
      </c>
      <c r="DI13" t="s">
        <v>441</v>
      </c>
      <c r="DJ13">
        <v>479218</v>
      </c>
      <c r="DK13">
        <v>46299</v>
      </c>
      <c r="DM13" t="s">
        <v>602</v>
      </c>
      <c r="DO13" t="s">
        <v>603</v>
      </c>
      <c r="DP13" t="s">
        <v>543</v>
      </c>
      <c r="DQ13" t="s">
        <v>409</v>
      </c>
      <c r="DV13">
        <v>31939</v>
      </c>
      <c r="DW13">
        <v>39</v>
      </c>
      <c r="DX13">
        <v>1</v>
      </c>
      <c r="DY13">
        <v>16</v>
      </c>
      <c r="DZ13">
        <v>1</v>
      </c>
      <c r="EA13" t="s">
        <v>389</v>
      </c>
      <c r="EB13" t="s">
        <v>389</v>
      </c>
      <c r="EC13">
        <v>90000</v>
      </c>
      <c r="EG13">
        <v>0</v>
      </c>
      <c r="EH13">
        <v>0</v>
      </c>
      <c r="EI13">
        <v>0</v>
      </c>
      <c r="EJ13">
        <v>0</v>
      </c>
      <c r="EK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900000</v>
      </c>
      <c r="ES13">
        <v>0</v>
      </c>
      <c r="EU13">
        <v>900000</v>
      </c>
      <c r="EW13" t="s">
        <v>393</v>
      </c>
      <c r="EX13" t="s">
        <v>487</v>
      </c>
      <c r="EY13">
        <v>17077.5</v>
      </c>
      <c r="EZ13">
        <v>17077.5</v>
      </c>
      <c r="FA13">
        <v>0</v>
      </c>
      <c r="FB13">
        <v>0</v>
      </c>
      <c r="FC13">
        <v>9000000</v>
      </c>
      <c r="FD13" t="s">
        <v>604</v>
      </c>
      <c r="FF13" t="s">
        <v>605</v>
      </c>
      <c r="FG13">
        <v>46296</v>
      </c>
      <c r="FH13">
        <v>46301</v>
      </c>
    </row>
    <row r="14" spans="1:164" x14ac:dyDescent="0.3">
      <c r="A14" t="s">
        <v>336</v>
      </c>
      <c r="B14" t="s">
        <v>336</v>
      </c>
      <c r="C14">
        <v>12</v>
      </c>
      <c r="D14">
        <v>12</v>
      </c>
      <c r="E14">
        <v>46293</v>
      </c>
      <c r="F14">
        <v>700000</v>
      </c>
      <c r="G14">
        <v>700000</v>
      </c>
      <c r="H14" t="s">
        <v>324</v>
      </c>
      <c r="I14">
        <v>686291.25</v>
      </c>
      <c r="J14" t="s">
        <v>468</v>
      </c>
      <c r="K14">
        <v>46300</v>
      </c>
      <c r="L14">
        <v>46300.556932870371</v>
      </c>
      <c r="M14">
        <v>46665</v>
      </c>
      <c r="N14" t="s">
        <v>410</v>
      </c>
      <c r="O14" t="s">
        <v>105</v>
      </c>
      <c r="P14" t="s">
        <v>530</v>
      </c>
      <c r="R14" t="s">
        <v>366</v>
      </c>
      <c r="S14" t="s">
        <v>367</v>
      </c>
      <c r="T14" t="s">
        <v>412</v>
      </c>
      <c r="U14" t="s">
        <v>413</v>
      </c>
      <c r="V14" t="s">
        <v>414</v>
      </c>
      <c r="W14" t="s">
        <v>415</v>
      </c>
      <c r="X14">
        <v>42</v>
      </c>
      <c r="Y14" t="s">
        <v>513</v>
      </c>
      <c r="AA14" t="s">
        <v>514</v>
      </c>
      <c r="AB14" t="s">
        <v>471</v>
      </c>
      <c r="AC14">
        <v>21</v>
      </c>
      <c r="AD14" t="s">
        <v>393</v>
      </c>
      <c r="AE14" t="s">
        <v>516</v>
      </c>
      <c r="AF14" t="s">
        <v>606</v>
      </c>
      <c r="AG14" t="s">
        <v>607</v>
      </c>
      <c r="AH14" t="s">
        <v>607</v>
      </c>
      <c r="AK14">
        <v>0</v>
      </c>
      <c r="AL14" t="s">
        <v>377</v>
      </c>
      <c r="AM14">
        <v>14.5</v>
      </c>
      <c r="AN14">
        <v>14.5</v>
      </c>
      <c r="AQ14" t="s">
        <v>378</v>
      </c>
      <c r="AR14" t="s">
        <v>378</v>
      </c>
      <c r="AS14" t="s">
        <v>423</v>
      </c>
      <c r="AT14" t="s">
        <v>380</v>
      </c>
      <c r="AU14" t="s">
        <v>474</v>
      </c>
      <c r="AV14" t="s">
        <v>535</v>
      </c>
      <c r="AW14" t="s">
        <v>536</v>
      </c>
      <c r="AX14">
        <v>47</v>
      </c>
      <c r="AY14">
        <v>0</v>
      </c>
      <c r="AZ14">
        <v>47</v>
      </c>
      <c r="BA14">
        <v>17611830</v>
      </c>
      <c r="BB14" t="s">
        <v>426</v>
      </c>
      <c r="BD14" t="s">
        <v>427</v>
      </c>
      <c r="BE14" t="s">
        <v>427</v>
      </c>
      <c r="BF14">
        <v>44636</v>
      </c>
      <c r="BG14">
        <v>700000</v>
      </c>
      <c r="BH14">
        <v>0</v>
      </c>
      <c r="BI14">
        <v>700000</v>
      </c>
      <c r="BL14">
        <v>902155</v>
      </c>
      <c r="BM14" t="s">
        <v>608</v>
      </c>
      <c r="BN14" t="s">
        <v>609</v>
      </c>
      <c r="BO14" t="s">
        <v>388</v>
      </c>
      <c r="BP14">
        <v>10012</v>
      </c>
      <c r="BQ14">
        <v>3090</v>
      </c>
      <c r="BR14" t="s">
        <v>431</v>
      </c>
      <c r="BS14" t="s">
        <v>431</v>
      </c>
      <c r="BT14" t="s">
        <v>431</v>
      </c>
      <c r="BU14" t="s">
        <v>610</v>
      </c>
      <c r="BV14">
        <v>1012</v>
      </c>
      <c r="BW14" t="s">
        <v>433</v>
      </c>
      <c r="BX14" t="s">
        <v>392</v>
      </c>
      <c r="BY14">
        <v>46370</v>
      </c>
      <c r="BZ14" t="s">
        <v>431</v>
      </c>
      <c r="CA14">
        <v>46370</v>
      </c>
      <c r="CB14">
        <v>14</v>
      </c>
      <c r="CC14" t="s">
        <v>394</v>
      </c>
      <c r="CD14">
        <v>1001</v>
      </c>
      <c r="CE14" t="s">
        <v>434</v>
      </c>
      <c r="CF14" t="s">
        <v>478</v>
      </c>
      <c r="CG14">
        <v>21080</v>
      </c>
      <c r="CH14" t="s">
        <v>479</v>
      </c>
      <c r="CI14" t="s">
        <v>480</v>
      </c>
      <c r="CJ14" t="s">
        <v>478</v>
      </c>
      <c r="CK14" t="s">
        <v>399</v>
      </c>
      <c r="CL14">
        <v>21083</v>
      </c>
      <c r="CM14">
        <v>1001</v>
      </c>
      <c r="CO14" t="s">
        <v>522</v>
      </c>
      <c r="CP14" t="s">
        <v>437</v>
      </c>
      <c r="CQ14" t="s">
        <v>402</v>
      </c>
      <c r="CR14" t="s">
        <v>403</v>
      </c>
      <c r="CS14" t="s">
        <v>611</v>
      </c>
      <c r="CW14">
        <v>0</v>
      </c>
      <c r="CX14">
        <v>0</v>
      </c>
      <c r="CY14">
        <v>0</v>
      </c>
      <c r="CZ14" t="s">
        <v>439</v>
      </c>
      <c r="DA14" t="s">
        <v>471</v>
      </c>
      <c r="DB14" t="s">
        <v>440</v>
      </c>
      <c r="DD14" t="s">
        <v>612</v>
      </c>
      <c r="DG14" t="s">
        <v>441</v>
      </c>
      <c r="DH14" t="s">
        <v>441</v>
      </c>
      <c r="DI14" t="s">
        <v>441</v>
      </c>
      <c r="DJ14">
        <v>479384</v>
      </c>
      <c r="DK14">
        <v>46300</v>
      </c>
      <c r="DM14" t="s">
        <v>613</v>
      </c>
      <c r="DO14" t="s">
        <v>614</v>
      </c>
      <c r="DP14" t="s">
        <v>543</v>
      </c>
      <c r="DQ14" t="s">
        <v>409</v>
      </c>
      <c r="DX14">
        <v>1</v>
      </c>
      <c r="DY14">
        <v>56</v>
      </c>
      <c r="DZ14">
        <v>1</v>
      </c>
      <c r="EA14" t="s">
        <v>431</v>
      </c>
      <c r="EB14" t="s">
        <v>615</v>
      </c>
      <c r="EC14">
        <v>5250</v>
      </c>
      <c r="EG14">
        <v>0</v>
      </c>
      <c r="EH14">
        <v>0</v>
      </c>
      <c r="EI14">
        <v>0</v>
      </c>
      <c r="EJ14">
        <v>0</v>
      </c>
      <c r="EK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U14">
        <v>0</v>
      </c>
      <c r="EW14" t="s">
        <v>465</v>
      </c>
      <c r="EX14" t="s">
        <v>487</v>
      </c>
      <c r="EY14">
        <v>2213.75</v>
      </c>
      <c r="EZ14">
        <v>2213.75</v>
      </c>
      <c r="FA14">
        <v>0</v>
      </c>
      <c r="FB14">
        <v>0</v>
      </c>
      <c r="FC14">
        <v>700000</v>
      </c>
      <c r="FD14" t="s">
        <v>616</v>
      </c>
      <c r="FF14" t="s">
        <v>617</v>
      </c>
      <c r="FG14">
        <v>46296</v>
      </c>
      <c r="FH14">
        <v>46301</v>
      </c>
    </row>
    <row r="15" spans="1:164" x14ac:dyDescent="0.3">
      <c r="A15" t="s">
        <v>337</v>
      </c>
      <c r="B15" t="s">
        <v>337</v>
      </c>
      <c r="C15">
        <v>36</v>
      </c>
      <c r="D15">
        <v>36</v>
      </c>
      <c r="E15">
        <v>46299</v>
      </c>
      <c r="F15">
        <v>12000000</v>
      </c>
      <c r="G15">
        <v>12000000</v>
      </c>
      <c r="H15" t="s">
        <v>328</v>
      </c>
      <c r="I15">
        <v>6217808.4500000002</v>
      </c>
      <c r="J15" t="s">
        <v>468</v>
      </c>
      <c r="K15">
        <v>46301</v>
      </c>
      <c r="L15">
        <v>46301.744687500002</v>
      </c>
      <c r="M15">
        <v>47396</v>
      </c>
      <c r="N15" t="s">
        <v>410</v>
      </c>
      <c r="O15" t="s">
        <v>45</v>
      </c>
      <c r="P15" t="s">
        <v>365</v>
      </c>
      <c r="R15" t="s">
        <v>366</v>
      </c>
      <c r="S15" t="s">
        <v>367</v>
      </c>
      <c r="T15" t="s">
        <v>412</v>
      </c>
      <c r="U15" t="s">
        <v>413</v>
      </c>
      <c r="V15" t="s">
        <v>492</v>
      </c>
      <c r="W15" t="s">
        <v>371</v>
      </c>
      <c r="X15">
        <v>57</v>
      </c>
      <c r="Y15" t="s">
        <v>618</v>
      </c>
      <c r="Z15" t="s">
        <v>619</v>
      </c>
      <c r="AA15" t="s">
        <v>620</v>
      </c>
      <c r="AB15" t="s">
        <v>496</v>
      </c>
      <c r="AE15" t="s">
        <v>548</v>
      </c>
      <c r="AF15" t="s">
        <v>421</v>
      </c>
      <c r="AG15" t="s">
        <v>621</v>
      </c>
      <c r="AH15" t="s">
        <v>621</v>
      </c>
      <c r="AK15">
        <v>0</v>
      </c>
      <c r="AL15" t="s">
        <v>377</v>
      </c>
      <c r="AM15">
        <v>16</v>
      </c>
      <c r="AN15">
        <v>16</v>
      </c>
      <c r="AQ15" t="s">
        <v>378</v>
      </c>
      <c r="AR15" t="s">
        <v>378</v>
      </c>
      <c r="AS15" t="s">
        <v>423</v>
      </c>
      <c r="AT15" t="s">
        <v>380</v>
      </c>
      <c r="AU15" t="s">
        <v>381</v>
      </c>
      <c r="AV15" t="s">
        <v>622</v>
      </c>
      <c r="AW15" t="s">
        <v>623</v>
      </c>
      <c r="AX15">
        <v>6</v>
      </c>
      <c r="AY15">
        <v>0</v>
      </c>
      <c r="AZ15">
        <v>6</v>
      </c>
      <c r="BA15">
        <v>1200000</v>
      </c>
      <c r="BB15" t="s">
        <v>426</v>
      </c>
      <c r="BD15" t="s">
        <v>427</v>
      </c>
      <c r="BE15" t="s">
        <v>427</v>
      </c>
      <c r="BF15">
        <v>45237</v>
      </c>
      <c r="BG15">
        <v>12000000</v>
      </c>
      <c r="BH15">
        <v>0</v>
      </c>
      <c r="BI15">
        <v>12000000</v>
      </c>
      <c r="BL15">
        <v>903040</v>
      </c>
      <c r="BM15" t="s">
        <v>552</v>
      </c>
      <c r="BN15" t="s">
        <v>624</v>
      </c>
      <c r="BO15" t="s">
        <v>502</v>
      </c>
      <c r="BP15">
        <v>1</v>
      </c>
      <c r="BQ15">
        <v>8111</v>
      </c>
      <c r="BR15" t="s">
        <v>389</v>
      </c>
      <c r="BS15" t="s">
        <v>389</v>
      </c>
      <c r="BT15" t="s">
        <v>389</v>
      </c>
      <c r="BU15" t="s">
        <v>553</v>
      </c>
      <c r="BV15">
        <v>1012</v>
      </c>
      <c r="BW15" t="s">
        <v>433</v>
      </c>
      <c r="BX15" t="s">
        <v>392</v>
      </c>
      <c r="BY15">
        <v>46370</v>
      </c>
      <c r="BZ15" t="s">
        <v>393</v>
      </c>
      <c r="CA15">
        <v>46370</v>
      </c>
      <c r="CB15">
        <v>14</v>
      </c>
      <c r="CC15" t="s">
        <v>394</v>
      </c>
      <c r="CD15">
        <v>1001</v>
      </c>
      <c r="CE15" t="s">
        <v>434</v>
      </c>
      <c r="CF15" t="s">
        <v>395</v>
      </c>
      <c r="CG15">
        <v>21006</v>
      </c>
      <c r="CH15" t="s">
        <v>396</v>
      </c>
      <c r="CI15" t="s">
        <v>397</v>
      </c>
      <c r="CJ15" t="s">
        <v>398</v>
      </c>
      <c r="CK15" t="s">
        <v>399</v>
      </c>
      <c r="CL15">
        <v>21027</v>
      </c>
      <c r="CM15">
        <v>1001</v>
      </c>
      <c r="CN15" t="s">
        <v>400</v>
      </c>
      <c r="CO15" t="s">
        <v>552</v>
      </c>
      <c r="CP15" t="s">
        <v>401</v>
      </c>
      <c r="CQ15" t="s">
        <v>402</v>
      </c>
      <c r="CR15" t="s">
        <v>403</v>
      </c>
      <c r="CS15" t="s">
        <v>441</v>
      </c>
      <c r="CW15">
        <v>6353917.4500000002</v>
      </c>
      <c r="CX15">
        <v>6353917.4500000002</v>
      </c>
      <c r="CY15">
        <v>6353917.4500000002</v>
      </c>
      <c r="CZ15" t="s">
        <v>404</v>
      </c>
      <c r="DA15" t="s">
        <v>405</v>
      </c>
      <c r="DD15" t="s">
        <v>409</v>
      </c>
      <c r="DG15" t="s">
        <v>441</v>
      </c>
      <c r="DH15" t="s">
        <v>441</v>
      </c>
      <c r="DI15" t="s">
        <v>441</v>
      </c>
      <c r="DJ15">
        <v>479525</v>
      </c>
      <c r="DK15">
        <v>46301</v>
      </c>
      <c r="DM15" t="s">
        <v>625</v>
      </c>
      <c r="DO15" t="s">
        <v>626</v>
      </c>
      <c r="DP15" t="s">
        <v>408</v>
      </c>
      <c r="DQ15" t="s">
        <v>409</v>
      </c>
      <c r="DV15">
        <v>37426</v>
      </c>
      <c r="DW15">
        <v>24</v>
      </c>
      <c r="DX15">
        <v>1</v>
      </c>
      <c r="DY15">
        <v>11</v>
      </c>
      <c r="DZ15">
        <v>1</v>
      </c>
      <c r="EA15" t="s">
        <v>389</v>
      </c>
      <c r="EB15" t="s">
        <v>389</v>
      </c>
      <c r="EC15">
        <v>90000</v>
      </c>
      <c r="EG15">
        <v>0</v>
      </c>
      <c r="EH15">
        <v>0</v>
      </c>
      <c r="EI15">
        <v>0</v>
      </c>
      <c r="EJ15">
        <v>1800000</v>
      </c>
      <c r="EK15">
        <v>0</v>
      </c>
      <c r="EL15" t="s">
        <v>627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 t="s">
        <v>560</v>
      </c>
      <c r="EU15">
        <v>1800000</v>
      </c>
      <c r="EW15" t="s">
        <v>393</v>
      </c>
      <c r="EX15" t="s">
        <v>487</v>
      </c>
      <c r="EY15">
        <v>22836</v>
      </c>
      <c r="EZ15">
        <v>22836</v>
      </c>
      <c r="FA15">
        <v>136109</v>
      </c>
      <c r="FB15">
        <v>0</v>
      </c>
      <c r="FC15">
        <v>6353917</v>
      </c>
      <c r="FD15" t="s">
        <v>628</v>
      </c>
      <c r="FF15" t="s">
        <v>629</v>
      </c>
      <c r="FG15">
        <v>46296</v>
      </c>
      <c r="FH15">
        <v>46301</v>
      </c>
    </row>
    <row r="16" spans="1:164" x14ac:dyDescent="0.3">
      <c r="A16" t="s">
        <v>338</v>
      </c>
      <c r="B16" t="s">
        <v>338</v>
      </c>
      <c r="C16">
        <v>24</v>
      </c>
      <c r="D16">
        <v>24</v>
      </c>
      <c r="E16">
        <v>46292</v>
      </c>
      <c r="F16">
        <v>5000000</v>
      </c>
      <c r="G16">
        <v>5000000</v>
      </c>
      <c r="H16" t="s">
        <v>324</v>
      </c>
      <c r="I16">
        <v>4679694.87</v>
      </c>
      <c r="J16" t="s">
        <v>468</v>
      </c>
      <c r="K16">
        <v>46300</v>
      </c>
      <c r="L16">
        <v>46300.632430555554</v>
      </c>
      <c r="M16">
        <v>47031</v>
      </c>
      <c r="N16" t="s">
        <v>410</v>
      </c>
      <c r="O16" t="s">
        <v>21</v>
      </c>
      <c r="P16" t="s">
        <v>630</v>
      </c>
      <c r="R16" t="s">
        <v>366</v>
      </c>
      <c r="S16" t="s">
        <v>367</v>
      </c>
      <c r="T16" t="s">
        <v>576</v>
      </c>
      <c r="U16" t="s">
        <v>577</v>
      </c>
      <c r="V16" t="s">
        <v>631</v>
      </c>
      <c r="W16" t="s">
        <v>415</v>
      </c>
      <c r="X16">
        <v>495</v>
      </c>
      <c r="Y16" t="s">
        <v>470</v>
      </c>
      <c r="Z16" t="s">
        <v>417</v>
      </c>
      <c r="AA16" t="s">
        <v>372</v>
      </c>
      <c r="AB16" t="s">
        <v>496</v>
      </c>
      <c r="AC16">
        <v>10</v>
      </c>
      <c r="AD16" t="s">
        <v>419</v>
      </c>
      <c r="AE16" t="s">
        <v>472</v>
      </c>
      <c r="AF16" t="s">
        <v>421</v>
      </c>
      <c r="AG16" t="s">
        <v>632</v>
      </c>
      <c r="AH16" t="s">
        <v>632</v>
      </c>
      <c r="AK16">
        <v>0</v>
      </c>
      <c r="AL16" t="s">
        <v>377</v>
      </c>
      <c r="AM16">
        <v>15.99</v>
      </c>
      <c r="AN16">
        <v>15.99</v>
      </c>
      <c r="AQ16" t="s">
        <v>378</v>
      </c>
      <c r="AR16" t="s">
        <v>378</v>
      </c>
      <c r="AS16" t="s">
        <v>423</v>
      </c>
      <c r="AT16" t="s">
        <v>380</v>
      </c>
      <c r="AU16" t="s">
        <v>474</v>
      </c>
      <c r="AV16" t="s">
        <v>633</v>
      </c>
      <c r="AW16" t="s">
        <v>634</v>
      </c>
      <c r="AX16">
        <v>15</v>
      </c>
      <c r="AY16">
        <v>5</v>
      </c>
      <c r="AZ16">
        <v>20</v>
      </c>
      <c r="BA16">
        <v>2714400</v>
      </c>
      <c r="BB16" t="s">
        <v>426</v>
      </c>
      <c r="BD16" t="s">
        <v>427</v>
      </c>
      <c r="BE16" t="s">
        <v>427</v>
      </c>
      <c r="BF16">
        <v>45234.658824305552</v>
      </c>
      <c r="BG16">
        <v>5000000</v>
      </c>
      <c r="BH16">
        <v>0</v>
      </c>
      <c r="BI16">
        <v>5000000</v>
      </c>
      <c r="BL16">
        <v>902522</v>
      </c>
      <c r="BM16" t="s">
        <v>477</v>
      </c>
      <c r="BN16" t="s">
        <v>429</v>
      </c>
      <c r="BO16" t="s">
        <v>635</v>
      </c>
      <c r="BP16">
        <v>10015</v>
      </c>
      <c r="BQ16">
        <v>2090</v>
      </c>
      <c r="BR16" t="s">
        <v>431</v>
      </c>
      <c r="BS16" t="s">
        <v>431</v>
      </c>
      <c r="BT16" t="s">
        <v>431</v>
      </c>
      <c r="BU16" t="s">
        <v>432</v>
      </c>
      <c r="BV16">
        <v>1012</v>
      </c>
      <c r="BW16" t="s">
        <v>433</v>
      </c>
      <c r="BX16" t="s">
        <v>392</v>
      </c>
      <c r="BY16">
        <v>46370</v>
      </c>
      <c r="BZ16" t="s">
        <v>431</v>
      </c>
      <c r="CA16">
        <v>46370</v>
      </c>
      <c r="CB16">
        <v>14</v>
      </c>
      <c r="CC16" t="s">
        <v>394</v>
      </c>
      <c r="CD16">
        <v>1001</v>
      </c>
      <c r="CE16" t="s">
        <v>434</v>
      </c>
      <c r="CF16" t="s">
        <v>395</v>
      </c>
      <c r="CG16">
        <v>21006</v>
      </c>
      <c r="CH16" t="s">
        <v>396</v>
      </c>
      <c r="CI16" t="s">
        <v>397</v>
      </c>
      <c r="CJ16" t="s">
        <v>398</v>
      </c>
      <c r="CK16" t="s">
        <v>435</v>
      </c>
      <c r="CL16">
        <v>21025</v>
      </c>
      <c r="CM16">
        <v>1001</v>
      </c>
      <c r="CN16" t="s">
        <v>400</v>
      </c>
      <c r="CO16" t="s">
        <v>436</v>
      </c>
      <c r="CP16" t="s">
        <v>437</v>
      </c>
      <c r="CQ16" t="s">
        <v>402</v>
      </c>
      <c r="CR16" t="s">
        <v>403</v>
      </c>
      <c r="CS16" t="s">
        <v>441</v>
      </c>
      <c r="CW16">
        <v>0</v>
      </c>
      <c r="CX16">
        <v>0</v>
      </c>
      <c r="CY16">
        <v>0</v>
      </c>
      <c r="CZ16" t="s">
        <v>439</v>
      </c>
      <c r="DA16" t="s">
        <v>405</v>
      </c>
      <c r="DB16" t="s">
        <v>636</v>
      </c>
      <c r="DD16" t="s">
        <v>21</v>
      </c>
      <c r="DG16" t="s">
        <v>637</v>
      </c>
      <c r="DH16" t="s">
        <v>638</v>
      </c>
      <c r="DI16" t="s">
        <v>639</v>
      </c>
      <c r="DJ16">
        <v>479397</v>
      </c>
      <c r="DK16">
        <v>46300</v>
      </c>
      <c r="DM16" t="s">
        <v>640</v>
      </c>
      <c r="DO16" t="s">
        <v>641</v>
      </c>
      <c r="DP16" t="s">
        <v>642</v>
      </c>
      <c r="DQ16" t="s">
        <v>121</v>
      </c>
      <c r="DV16">
        <v>33359</v>
      </c>
      <c r="DW16">
        <v>35</v>
      </c>
      <c r="DX16">
        <v>1</v>
      </c>
      <c r="DY16">
        <v>31</v>
      </c>
      <c r="DZ16">
        <v>1</v>
      </c>
      <c r="EA16" t="s">
        <v>431</v>
      </c>
      <c r="EB16" t="s">
        <v>446</v>
      </c>
      <c r="EC16">
        <v>50000</v>
      </c>
      <c r="EG16">
        <v>244792</v>
      </c>
      <c r="EH16">
        <v>0</v>
      </c>
      <c r="EI16">
        <v>0</v>
      </c>
      <c r="EJ16">
        <v>0</v>
      </c>
      <c r="EK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U16">
        <v>0</v>
      </c>
      <c r="EW16" t="s">
        <v>486</v>
      </c>
      <c r="EX16" t="s">
        <v>487</v>
      </c>
      <c r="EY16">
        <v>11290.13</v>
      </c>
      <c r="EZ16">
        <v>11290.13</v>
      </c>
      <c r="FA16">
        <v>320305.13</v>
      </c>
      <c r="FB16">
        <v>0</v>
      </c>
      <c r="FC16">
        <v>5000000</v>
      </c>
      <c r="FD16" t="s">
        <v>643</v>
      </c>
      <c r="FF16" t="s">
        <v>644</v>
      </c>
      <c r="FG16">
        <v>46296</v>
      </c>
      <c r="FH16">
        <v>46301</v>
      </c>
    </row>
    <row r="17" spans="1:164" x14ac:dyDescent="0.3">
      <c r="A17" t="s">
        <v>339</v>
      </c>
      <c r="B17" t="s">
        <v>339</v>
      </c>
      <c r="C17">
        <v>12</v>
      </c>
      <c r="D17">
        <v>12</v>
      </c>
      <c r="E17">
        <v>46293</v>
      </c>
      <c r="F17">
        <v>2200000</v>
      </c>
      <c r="G17">
        <v>2200000</v>
      </c>
      <c r="H17" t="s">
        <v>324</v>
      </c>
      <c r="I17">
        <v>2200000</v>
      </c>
      <c r="J17" t="s">
        <v>468</v>
      </c>
      <c r="K17">
        <v>46299</v>
      </c>
      <c r="L17">
        <v>46299.62773148148</v>
      </c>
      <c r="M17">
        <v>46665</v>
      </c>
      <c r="N17" t="s">
        <v>410</v>
      </c>
      <c r="O17" t="s">
        <v>105</v>
      </c>
      <c r="P17" t="s">
        <v>530</v>
      </c>
      <c r="R17" t="s">
        <v>366</v>
      </c>
      <c r="S17" t="s">
        <v>367</v>
      </c>
      <c r="T17" t="s">
        <v>597</v>
      </c>
      <c r="U17" t="s">
        <v>598</v>
      </c>
      <c r="V17" t="s">
        <v>414</v>
      </c>
      <c r="W17" t="s">
        <v>371</v>
      </c>
      <c r="X17">
        <v>547</v>
      </c>
      <c r="Y17" t="s">
        <v>578</v>
      </c>
      <c r="AA17" t="s">
        <v>373</v>
      </c>
      <c r="AB17" t="s">
        <v>471</v>
      </c>
      <c r="AC17">
        <v>1</v>
      </c>
      <c r="AD17" t="s">
        <v>497</v>
      </c>
      <c r="AE17" t="s">
        <v>548</v>
      </c>
      <c r="AF17" t="s">
        <v>421</v>
      </c>
      <c r="AG17" t="s">
        <v>645</v>
      </c>
      <c r="AH17" t="s">
        <v>645</v>
      </c>
      <c r="AK17">
        <v>0</v>
      </c>
      <c r="AL17" t="s">
        <v>377</v>
      </c>
      <c r="AM17">
        <v>9</v>
      </c>
      <c r="AN17">
        <v>9</v>
      </c>
      <c r="AQ17" t="s">
        <v>378</v>
      </c>
      <c r="AR17" t="s">
        <v>378</v>
      </c>
      <c r="AS17" t="s">
        <v>423</v>
      </c>
      <c r="AT17" t="s">
        <v>380</v>
      </c>
      <c r="AU17" t="s">
        <v>381</v>
      </c>
      <c r="AV17" t="s">
        <v>600</v>
      </c>
      <c r="AW17" t="s">
        <v>601</v>
      </c>
      <c r="AX17">
        <v>15</v>
      </c>
      <c r="AY17">
        <v>0</v>
      </c>
      <c r="AZ17">
        <v>15</v>
      </c>
      <c r="BA17">
        <v>729000</v>
      </c>
      <c r="BB17" t="s">
        <v>426</v>
      </c>
      <c r="BD17" t="s">
        <v>427</v>
      </c>
      <c r="BE17" t="s">
        <v>427</v>
      </c>
      <c r="BF17">
        <v>45260</v>
      </c>
      <c r="BG17">
        <v>2200000</v>
      </c>
      <c r="BH17">
        <v>0</v>
      </c>
      <c r="BI17">
        <v>2200000</v>
      </c>
      <c r="BL17">
        <v>903040</v>
      </c>
      <c r="BM17" t="s">
        <v>552</v>
      </c>
      <c r="BN17" t="s">
        <v>429</v>
      </c>
      <c r="BO17" t="s">
        <v>569</v>
      </c>
      <c r="BP17">
        <v>10001</v>
      </c>
      <c r="BQ17">
        <v>8111</v>
      </c>
      <c r="BR17" t="s">
        <v>389</v>
      </c>
      <c r="BS17" t="s">
        <v>389</v>
      </c>
      <c r="BT17" t="s">
        <v>389</v>
      </c>
      <c r="BU17" t="s">
        <v>553</v>
      </c>
      <c r="BV17">
        <v>1012</v>
      </c>
      <c r="BW17" t="s">
        <v>433</v>
      </c>
      <c r="BX17" t="s">
        <v>392</v>
      </c>
      <c r="BY17">
        <v>46370</v>
      </c>
      <c r="BZ17" t="s">
        <v>503</v>
      </c>
      <c r="CA17">
        <v>46370</v>
      </c>
      <c r="CB17">
        <v>14</v>
      </c>
      <c r="CC17" t="s">
        <v>394</v>
      </c>
      <c r="CD17">
        <v>1001</v>
      </c>
      <c r="CE17" t="s">
        <v>434</v>
      </c>
      <c r="CF17" t="s">
        <v>478</v>
      </c>
      <c r="CG17">
        <v>21080</v>
      </c>
      <c r="CH17" t="s">
        <v>479</v>
      </c>
      <c r="CI17" t="s">
        <v>480</v>
      </c>
      <c r="CJ17" t="s">
        <v>478</v>
      </c>
      <c r="CK17" t="s">
        <v>435</v>
      </c>
      <c r="CL17">
        <v>21081</v>
      </c>
      <c r="CM17">
        <v>1001</v>
      </c>
      <c r="CN17" t="s">
        <v>400</v>
      </c>
      <c r="CO17" t="s">
        <v>552</v>
      </c>
      <c r="CP17" t="s">
        <v>401</v>
      </c>
      <c r="CQ17" t="s">
        <v>402</v>
      </c>
      <c r="CR17" t="s">
        <v>403</v>
      </c>
      <c r="CS17" t="s">
        <v>570</v>
      </c>
      <c r="CW17">
        <v>0</v>
      </c>
      <c r="CX17">
        <v>0</v>
      </c>
      <c r="CY17">
        <v>0</v>
      </c>
      <c r="CZ17" t="s">
        <v>404</v>
      </c>
      <c r="DA17" t="s">
        <v>471</v>
      </c>
      <c r="DD17" t="s">
        <v>540</v>
      </c>
      <c r="DG17" t="s">
        <v>441</v>
      </c>
      <c r="DH17" t="s">
        <v>441</v>
      </c>
      <c r="DI17" t="s">
        <v>441</v>
      </c>
      <c r="DJ17">
        <v>479240</v>
      </c>
      <c r="DK17">
        <v>46299</v>
      </c>
      <c r="DM17" t="s">
        <v>646</v>
      </c>
      <c r="DO17" t="s">
        <v>647</v>
      </c>
      <c r="DP17" t="s">
        <v>543</v>
      </c>
      <c r="DQ17" t="s">
        <v>409</v>
      </c>
      <c r="DV17">
        <v>31728</v>
      </c>
      <c r="DW17">
        <v>40</v>
      </c>
      <c r="DX17">
        <v>1</v>
      </c>
      <c r="DY17">
        <v>44</v>
      </c>
      <c r="DZ17">
        <v>1</v>
      </c>
      <c r="EA17" t="s">
        <v>389</v>
      </c>
      <c r="EB17" t="s">
        <v>389</v>
      </c>
      <c r="EC17">
        <v>22000</v>
      </c>
      <c r="EG17">
        <v>0</v>
      </c>
      <c r="EH17">
        <v>0</v>
      </c>
      <c r="EI17">
        <v>0</v>
      </c>
      <c r="EJ17">
        <v>0</v>
      </c>
      <c r="EK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110000</v>
      </c>
      <c r="ES17">
        <v>0</v>
      </c>
      <c r="EU17">
        <v>110000</v>
      </c>
      <c r="EW17" t="s">
        <v>393</v>
      </c>
      <c r="EX17" t="s">
        <v>487</v>
      </c>
      <c r="EY17">
        <v>6957.5</v>
      </c>
      <c r="EZ17">
        <v>6957.5</v>
      </c>
      <c r="FA17">
        <v>0</v>
      </c>
      <c r="FB17">
        <v>0</v>
      </c>
      <c r="FC17">
        <v>2200000</v>
      </c>
      <c r="FD17" t="s">
        <v>648</v>
      </c>
      <c r="FF17" t="s">
        <v>649</v>
      </c>
      <c r="FG17">
        <v>46296</v>
      </c>
      <c r="FH17">
        <v>46301</v>
      </c>
    </row>
    <row r="18" spans="1:164" x14ac:dyDescent="0.3">
      <c r="A18" t="s">
        <v>340</v>
      </c>
      <c r="B18" t="s">
        <v>340</v>
      </c>
      <c r="C18">
        <v>24</v>
      </c>
      <c r="D18">
        <v>24</v>
      </c>
      <c r="E18">
        <v>46294</v>
      </c>
      <c r="F18">
        <v>3500000</v>
      </c>
      <c r="G18">
        <v>3500000</v>
      </c>
      <c r="H18" t="s">
        <v>328</v>
      </c>
      <c r="I18">
        <v>2787525.16</v>
      </c>
      <c r="J18" t="s">
        <v>468</v>
      </c>
      <c r="K18">
        <v>46300</v>
      </c>
      <c r="L18">
        <v>46300.574490740742</v>
      </c>
      <c r="M18">
        <v>47031</v>
      </c>
      <c r="N18" t="s">
        <v>410</v>
      </c>
      <c r="O18" t="s">
        <v>113</v>
      </c>
      <c r="P18" t="s">
        <v>650</v>
      </c>
      <c r="Q18" t="s">
        <v>117</v>
      </c>
      <c r="R18" t="s">
        <v>366</v>
      </c>
      <c r="S18" t="s">
        <v>367</v>
      </c>
      <c r="T18" t="s">
        <v>576</v>
      </c>
      <c r="U18" t="s">
        <v>577</v>
      </c>
      <c r="V18" t="s">
        <v>414</v>
      </c>
      <c r="W18" t="s">
        <v>651</v>
      </c>
      <c r="X18">
        <v>202</v>
      </c>
      <c r="Y18" t="s">
        <v>652</v>
      </c>
      <c r="Z18" t="s">
        <v>653</v>
      </c>
      <c r="AA18" t="s">
        <v>654</v>
      </c>
      <c r="AB18" t="s">
        <v>418</v>
      </c>
      <c r="AC18">
        <v>21</v>
      </c>
      <c r="AD18" t="s">
        <v>393</v>
      </c>
      <c r="AE18" t="s">
        <v>655</v>
      </c>
      <c r="AF18" t="s">
        <v>606</v>
      </c>
      <c r="AG18" t="s">
        <v>656</v>
      </c>
      <c r="AH18" t="s">
        <v>656</v>
      </c>
      <c r="AK18">
        <v>0</v>
      </c>
      <c r="AL18" t="s">
        <v>377</v>
      </c>
      <c r="AM18">
        <v>16.25</v>
      </c>
      <c r="AN18">
        <v>16.25</v>
      </c>
      <c r="AQ18" t="s">
        <v>378</v>
      </c>
      <c r="AR18" t="s">
        <v>378</v>
      </c>
      <c r="AS18" t="s">
        <v>423</v>
      </c>
      <c r="AT18" t="s">
        <v>380</v>
      </c>
      <c r="AU18" t="s">
        <v>381</v>
      </c>
      <c r="AV18" t="s">
        <v>657</v>
      </c>
      <c r="AW18" t="s">
        <v>658</v>
      </c>
      <c r="AX18">
        <v>10</v>
      </c>
      <c r="AY18">
        <v>0</v>
      </c>
      <c r="AZ18">
        <v>10</v>
      </c>
      <c r="BA18">
        <v>5085000</v>
      </c>
      <c r="BB18" t="s">
        <v>426</v>
      </c>
      <c r="BD18" t="s">
        <v>427</v>
      </c>
      <c r="BE18" t="s">
        <v>427</v>
      </c>
      <c r="BF18">
        <v>45290</v>
      </c>
      <c r="BG18">
        <v>3500000</v>
      </c>
      <c r="BH18">
        <v>0</v>
      </c>
      <c r="BI18">
        <v>3500000</v>
      </c>
      <c r="BL18">
        <v>902454</v>
      </c>
      <c r="BM18" t="s">
        <v>652</v>
      </c>
      <c r="BN18" t="s">
        <v>429</v>
      </c>
      <c r="BO18" t="s">
        <v>659</v>
      </c>
      <c r="BP18">
        <v>10002</v>
      </c>
      <c r="BQ18">
        <v>2090</v>
      </c>
      <c r="BR18" t="s">
        <v>431</v>
      </c>
      <c r="BS18" t="s">
        <v>431</v>
      </c>
      <c r="BT18" t="s">
        <v>431</v>
      </c>
      <c r="BU18" t="s">
        <v>432</v>
      </c>
      <c r="BV18">
        <v>1012</v>
      </c>
      <c r="BW18" t="s">
        <v>433</v>
      </c>
      <c r="BX18" t="s">
        <v>392</v>
      </c>
      <c r="BY18">
        <v>46370</v>
      </c>
      <c r="BZ18" t="s">
        <v>431</v>
      </c>
      <c r="CA18">
        <v>46370</v>
      </c>
      <c r="CB18">
        <v>14</v>
      </c>
      <c r="CC18" t="s">
        <v>394</v>
      </c>
      <c r="CD18">
        <v>1001</v>
      </c>
      <c r="CE18" t="s">
        <v>434</v>
      </c>
      <c r="CF18" t="s">
        <v>395</v>
      </c>
      <c r="CG18">
        <v>21006</v>
      </c>
      <c r="CH18" t="s">
        <v>396</v>
      </c>
      <c r="CI18" t="s">
        <v>397</v>
      </c>
      <c r="CJ18" t="s">
        <v>398</v>
      </c>
      <c r="CK18" t="s">
        <v>435</v>
      </c>
      <c r="CL18">
        <v>21025</v>
      </c>
      <c r="CM18">
        <v>1001</v>
      </c>
      <c r="CN18" t="s">
        <v>400</v>
      </c>
      <c r="CO18" t="s">
        <v>461</v>
      </c>
      <c r="CP18" t="s">
        <v>437</v>
      </c>
      <c r="CQ18" t="s">
        <v>402</v>
      </c>
      <c r="CR18" t="s">
        <v>403</v>
      </c>
      <c r="CS18" t="s">
        <v>441</v>
      </c>
      <c r="CW18">
        <v>3017967.41</v>
      </c>
      <c r="CX18">
        <v>3017967.41</v>
      </c>
      <c r="CY18">
        <v>3017967.41</v>
      </c>
      <c r="CZ18" t="s">
        <v>439</v>
      </c>
      <c r="DA18" t="s">
        <v>405</v>
      </c>
      <c r="DB18" t="s">
        <v>440</v>
      </c>
      <c r="DD18" t="s">
        <v>660</v>
      </c>
      <c r="DG18" t="s">
        <v>441</v>
      </c>
      <c r="DH18" t="s">
        <v>441</v>
      </c>
      <c r="DI18" t="s">
        <v>441</v>
      </c>
      <c r="DJ18">
        <v>479388</v>
      </c>
      <c r="DK18">
        <v>46300</v>
      </c>
      <c r="DM18" t="s">
        <v>661</v>
      </c>
      <c r="DO18" t="s">
        <v>662</v>
      </c>
      <c r="DP18" t="s">
        <v>663</v>
      </c>
      <c r="DQ18" t="s">
        <v>121</v>
      </c>
      <c r="DX18">
        <v>1</v>
      </c>
      <c r="DY18">
        <v>38</v>
      </c>
      <c r="DZ18">
        <v>1</v>
      </c>
      <c r="EA18" t="s">
        <v>651</v>
      </c>
      <c r="EB18" t="s">
        <v>664</v>
      </c>
      <c r="EC18">
        <v>35000</v>
      </c>
      <c r="EG18">
        <v>171789</v>
      </c>
      <c r="EH18">
        <v>0</v>
      </c>
      <c r="EI18">
        <v>0</v>
      </c>
      <c r="EJ18">
        <v>0</v>
      </c>
      <c r="EK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U18">
        <v>0</v>
      </c>
      <c r="EW18" t="s">
        <v>465</v>
      </c>
      <c r="EX18" t="s">
        <v>448</v>
      </c>
      <c r="EY18">
        <v>11068.75</v>
      </c>
      <c r="EZ18">
        <v>11068.75</v>
      </c>
      <c r="FA18">
        <v>230442.25</v>
      </c>
      <c r="FB18">
        <v>0</v>
      </c>
      <c r="FC18">
        <v>3017967</v>
      </c>
      <c r="FD18" t="s">
        <v>665</v>
      </c>
      <c r="FF18" t="s">
        <v>666</v>
      </c>
      <c r="FG18">
        <v>46296</v>
      </c>
      <c r="FH18">
        <v>46301</v>
      </c>
    </row>
    <row r="19" spans="1:164" x14ac:dyDescent="0.3">
      <c r="A19" t="s">
        <v>341</v>
      </c>
      <c r="B19" t="s">
        <v>341</v>
      </c>
      <c r="C19">
        <v>36</v>
      </c>
      <c r="D19">
        <v>36</v>
      </c>
      <c r="E19">
        <v>46278</v>
      </c>
      <c r="F19">
        <v>13000000</v>
      </c>
      <c r="G19">
        <v>13000000</v>
      </c>
      <c r="H19" t="s">
        <v>324</v>
      </c>
      <c r="I19">
        <v>13000000</v>
      </c>
      <c r="J19" t="s">
        <v>363</v>
      </c>
      <c r="K19">
        <v>46296</v>
      </c>
      <c r="L19">
        <v>46296.555555555555</v>
      </c>
      <c r="M19">
        <v>47396</v>
      </c>
      <c r="N19" t="s">
        <v>410</v>
      </c>
      <c r="O19" t="s">
        <v>57</v>
      </c>
      <c r="P19" t="s">
        <v>667</v>
      </c>
      <c r="R19" t="s">
        <v>366</v>
      </c>
      <c r="S19" t="s">
        <v>367</v>
      </c>
      <c r="T19" t="s">
        <v>511</v>
      </c>
      <c r="U19" t="s">
        <v>512</v>
      </c>
      <c r="V19" t="s">
        <v>414</v>
      </c>
      <c r="W19" t="s">
        <v>415</v>
      </c>
      <c r="X19">
        <v>155</v>
      </c>
      <c r="Y19" t="s">
        <v>668</v>
      </c>
      <c r="Z19" t="s">
        <v>669</v>
      </c>
      <c r="AA19" t="s">
        <v>670</v>
      </c>
      <c r="AB19" t="s">
        <v>418</v>
      </c>
      <c r="AC19">
        <v>3</v>
      </c>
      <c r="AD19" t="s">
        <v>671</v>
      </c>
      <c r="AE19" t="s">
        <v>516</v>
      </c>
      <c r="AF19" t="s">
        <v>421</v>
      </c>
      <c r="AG19" t="s">
        <v>672</v>
      </c>
      <c r="AH19" t="s">
        <v>672</v>
      </c>
      <c r="AK19">
        <v>0</v>
      </c>
      <c r="AL19" t="s">
        <v>377</v>
      </c>
      <c r="AM19">
        <v>7</v>
      </c>
      <c r="AN19">
        <v>7</v>
      </c>
      <c r="AQ19" t="s">
        <v>378</v>
      </c>
      <c r="AR19" t="s">
        <v>378</v>
      </c>
      <c r="AS19" t="s">
        <v>423</v>
      </c>
      <c r="AT19" t="s">
        <v>380</v>
      </c>
      <c r="AU19" t="s">
        <v>381</v>
      </c>
      <c r="AV19" t="s">
        <v>673</v>
      </c>
      <c r="AW19" t="s">
        <v>674</v>
      </c>
      <c r="AX19">
        <v>25</v>
      </c>
      <c r="AY19">
        <v>0</v>
      </c>
      <c r="AZ19">
        <v>25</v>
      </c>
      <c r="BA19">
        <v>7785000</v>
      </c>
      <c r="BB19" t="s">
        <v>426</v>
      </c>
      <c r="BD19" t="s">
        <v>427</v>
      </c>
      <c r="BE19" t="s">
        <v>427</v>
      </c>
      <c r="BF19">
        <v>44630</v>
      </c>
      <c r="BG19">
        <v>13000000</v>
      </c>
      <c r="BH19">
        <v>0</v>
      </c>
      <c r="BI19">
        <v>13000000</v>
      </c>
      <c r="BL19">
        <v>902112</v>
      </c>
      <c r="BM19" t="s">
        <v>520</v>
      </c>
      <c r="BN19" t="s">
        <v>429</v>
      </c>
      <c r="BO19" t="s">
        <v>430</v>
      </c>
      <c r="BP19">
        <v>10003</v>
      </c>
      <c r="BQ19">
        <v>2090</v>
      </c>
      <c r="BR19" t="s">
        <v>431</v>
      </c>
      <c r="BS19" t="s">
        <v>431</v>
      </c>
      <c r="BT19" t="s">
        <v>431</v>
      </c>
      <c r="BU19" t="s">
        <v>432</v>
      </c>
      <c r="BV19">
        <v>1012</v>
      </c>
      <c r="BW19" t="s">
        <v>433</v>
      </c>
      <c r="BX19" t="s">
        <v>392</v>
      </c>
      <c r="BY19">
        <v>46370</v>
      </c>
      <c r="BZ19" t="s">
        <v>431</v>
      </c>
      <c r="CA19">
        <v>46370</v>
      </c>
      <c r="CB19">
        <v>14</v>
      </c>
      <c r="CC19" t="s">
        <v>394</v>
      </c>
      <c r="CD19">
        <v>1001</v>
      </c>
      <c r="CE19" t="s">
        <v>434</v>
      </c>
      <c r="CF19" t="s">
        <v>395</v>
      </c>
      <c r="CG19">
        <v>21006</v>
      </c>
      <c r="CH19" t="s">
        <v>396</v>
      </c>
      <c r="CI19" t="s">
        <v>397</v>
      </c>
      <c r="CJ19" t="s">
        <v>398</v>
      </c>
      <c r="CK19" t="s">
        <v>435</v>
      </c>
      <c r="CL19">
        <v>21025</v>
      </c>
      <c r="CM19">
        <v>1001</v>
      </c>
      <c r="CN19" t="s">
        <v>400</v>
      </c>
      <c r="CO19" t="s">
        <v>522</v>
      </c>
      <c r="CP19" t="s">
        <v>437</v>
      </c>
      <c r="CQ19" t="s">
        <v>402</v>
      </c>
      <c r="CR19" t="s">
        <v>403</v>
      </c>
      <c r="CS19" t="s">
        <v>438</v>
      </c>
      <c r="CW19">
        <v>0</v>
      </c>
      <c r="CX19">
        <v>0</v>
      </c>
      <c r="CY19">
        <v>0</v>
      </c>
      <c r="CZ19" t="s">
        <v>439</v>
      </c>
      <c r="DA19" t="s">
        <v>405</v>
      </c>
      <c r="DB19" t="s">
        <v>440</v>
      </c>
      <c r="DD19" t="s">
        <v>57</v>
      </c>
      <c r="DG19" t="s">
        <v>441</v>
      </c>
      <c r="DH19" t="s">
        <v>441</v>
      </c>
      <c r="DI19" t="s">
        <v>441</v>
      </c>
      <c r="DJ19">
        <v>479103</v>
      </c>
      <c r="DK19">
        <v>46296</v>
      </c>
      <c r="DM19" t="s">
        <v>675</v>
      </c>
      <c r="DO19" t="s">
        <v>676</v>
      </c>
      <c r="DP19" t="s">
        <v>677</v>
      </c>
      <c r="DQ19" t="s">
        <v>409</v>
      </c>
      <c r="DV19">
        <v>21551</v>
      </c>
      <c r="DW19">
        <v>67</v>
      </c>
      <c r="DX19">
        <v>1</v>
      </c>
      <c r="DY19">
        <v>9</v>
      </c>
      <c r="DZ19">
        <v>1</v>
      </c>
      <c r="EA19" t="s">
        <v>431</v>
      </c>
      <c r="EB19" t="s">
        <v>526</v>
      </c>
      <c r="EC19">
        <v>97500</v>
      </c>
      <c r="EG19">
        <v>0</v>
      </c>
      <c r="EH19">
        <v>0</v>
      </c>
      <c r="EI19">
        <v>0</v>
      </c>
      <c r="EJ19">
        <v>0</v>
      </c>
      <c r="EK19">
        <v>0</v>
      </c>
      <c r="EM19">
        <v>0</v>
      </c>
      <c r="EN19">
        <v>20234375</v>
      </c>
      <c r="EO19">
        <v>0</v>
      </c>
      <c r="EP19">
        <v>0</v>
      </c>
      <c r="EQ19">
        <v>0</v>
      </c>
      <c r="ER19">
        <v>0</v>
      </c>
      <c r="ES19">
        <v>0</v>
      </c>
      <c r="EU19">
        <v>10117187.5</v>
      </c>
      <c r="EW19" t="s">
        <v>486</v>
      </c>
      <c r="EX19" t="s">
        <v>448</v>
      </c>
      <c r="EY19">
        <v>28028</v>
      </c>
      <c r="EZ19">
        <v>28028</v>
      </c>
      <c r="FA19">
        <v>0</v>
      </c>
      <c r="FB19">
        <v>0</v>
      </c>
      <c r="FC19">
        <v>13000000</v>
      </c>
      <c r="FD19" t="s">
        <v>678</v>
      </c>
      <c r="FF19" t="s">
        <v>679</v>
      </c>
      <c r="FG19">
        <v>46296</v>
      </c>
      <c r="FH19">
        <v>46301</v>
      </c>
    </row>
    <row r="20" spans="1:164" x14ac:dyDescent="0.3">
      <c r="A20" t="s">
        <v>342</v>
      </c>
      <c r="B20" t="s">
        <v>342</v>
      </c>
      <c r="C20">
        <v>60</v>
      </c>
      <c r="D20">
        <v>60</v>
      </c>
      <c r="E20">
        <v>46292</v>
      </c>
      <c r="F20">
        <v>24000000</v>
      </c>
      <c r="G20">
        <v>24000000</v>
      </c>
      <c r="H20" t="s">
        <v>324</v>
      </c>
      <c r="I20">
        <v>24000000</v>
      </c>
      <c r="J20" t="s">
        <v>363</v>
      </c>
      <c r="K20">
        <v>46299</v>
      </c>
      <c r="L20">
        <v>46299.731886574074</v>
      </c>
      <c r="M20">
        <v>48126</v>
      </c>
      <c r="N20" t="s">
        <v>410</v>
      </c>
      <c r="O20" t="s">
        <v>105</v>
      </c>
      <c r="P20" t="s">
        <v>530</v>
      </c>
      <c r="R20" t="s">
        <v>366</v>
      </c>
      <c r="S20" t="s">
        <v>367</v>
      </c>
      <c r="T20" t="s">
        <v>511</v>
      </c>
      <c r="U20" t="s">
        <v>512</v>
      </c>
      <c r="V20" t="s">
        <v>492</v>
      </c>
      <c r="W20" t="s">
        <v>415</v>
      </c>
      <c r="X20">
        <v>544</v>
      </c>
      <c r="Y20" t="s">
        <v>680</v>
      </c>
      <c r="AA20" t="s">
        <v>514</v>
      </c>
      <c r="AB20" t="s">
        <v>515</v>
      </c>
      <c r="AC20">
        <v>21</v>
      </c>
      <c r="AD20" t="s">
        <v>393</v>
      </c>
      <c r="AE20" t="s">
        <v>681</v>
      </c>
      <c r="AF20" t="s">
        <v>421</v>
      </c>
      <c r="AG20" t="s">
        <v>682</v>
      </c>
      <c r="AH20" t="s">
        <v>682</v>
      </c>
      <c r="AK20">
        <v>0</v>
      </c>
      <c r="AL20" t="s">
        <v>377</v>
      </c>
      <c r="AM20">
        <v>7</v>
      </c>
      <c r="AN20">
        <v>7</v>
      </c>
      <c r="AQ20" t="s">
        <v>378</v>
      </c>
      <c r="AR20" t="s">
        <v>378</v>
      </c>
      <c r="AS20" t="s">
        <v>423</v>
      </c>
      <c r="AT20" t="s">
        <v>380</v>
      </c>
      <c r="AU20" t="s">
        <v>474</v>
      </c>
      <c r="AV20" t="s">
        <v>683</v>
      </c>
      <c r="AW20" t="s">
        <v>684</v>
      </c>
      <c r="AX20">
        <v>80</v>
      </c>
      <c r="AY20">
        <v>35</v>
      </c>
      <c r="AZ20">
        <v>115</v>
      </c>
      <c r="BA20">
        <v>323191829</v>
      </c>
      <c r="BB20" t="s">
        <v>426</v>
      </c>
      <c r="BD20" t="s">
        <v>427</v>
      </c>
      <c r="BE20" t="s">
        <v>427</v>
      </c>
      <c r="BF20">
        <v>44679</v>
      </c>
      <c r="BG20">
        <v>24000000</v>
      </c>
      <c r="BH20">
        <v>0</v>
      </c>
      <c r="BI20">
        <v>24000000</v>
      </c>
      <c r="BL20">
        <v>902199</v>
      </c>
      <c r="BM20" t="s">
        <v>685</v>
      </c>
      <c r="BN20" t="s">
        <v>429</v>
      </c>
      <c r="BO20" t="s">
        <v>538</v>
      </c>
      <c r="BP20">
        <v>10006</v>
      </c>
      <c r="BQ20">
        <v>2090</v>
      </c>
      <c r="BR20" t="s">
        <v>431</v>
      </c>
      <c r="BS20" t="s">
        <v>431</v>
      </c>
      <c r="BT20" t="s">
        <v>431</v>
      </c>
      <c r="BU20" t="s">
        <v>432</v>
      </c>
      <c r="BV20">
        <v>1012</v>
      </c>
      <c r="BW20" t="s">
        <v>433</v>
      </c>
      <c r="BX20" t="s">
        <v>392</v>
      </c>
      <c r="BY20">
        <v>46370</v>
      </c>
      <c r="BZ20" t="s">
        <v>431</v>
      </c>
      <c r="CA20">
        <v>46370</v>
      </c>
      <c r="CB20">
        <v>14</v>
      </c>
      <c r="CC20" t="s">
        <v>394</v>
      </c>
      <c r="CD20">
        <v>1001</v>
      </c>
      <c r="CE20" t="s">
        <v>434</v>
      </c>
      <c r="CF20" t="s">
        <v>395</v>
      </c>
      <c r="CG20">
        <v>21006</v>
      </c>
      <c r="CH20" t="s">
        <v>396</v>
      </c>
      <c r="CI20" t="s">
        <v>397</v>
      </c>
      <c r="CJ20" t="s">
        <v>521</v>
      </c>
      <c r="CK20" t="s">
        <v>435</v>
      </c>
      <c r="CL20">
        <v>21025</v>
      </c>
      <c r="CM20">
        <v>1001</v>
      </c>
      <c r="CN20" t="s">
        <v>400</v>
      </c>
      <c r="CO20" t="s">
        <v>522</v>
      </c>
      <c r="CP20" t="s">
        <v>437</v>
      </c>
      <c r="CQ20" t="s">
        <v>402</v>
      </c>
      <c r="CR20" t="s">
        <v>403</v>
      </c>
      <c r="CS20" t="s">
        <v>462</v>
      </c>
      <c r="CW20">
        <v>0</v>
      </c>
      <c r="CX20">
        <v>0</v>
      </c>
      <c r="CY20">
        <v>0</v>
      </c>
      <c r="CZ20" t="s">
        <v>439</v>
      </c>
      <c r="DA20" t="s">
        <v>405</v>
      </c>
      <c r="DB20" t="s">
        <v>539</v>
      </c>
      <c r="DD20" t="s">
        <v>540</v>
      </c>
      <c r="DG20" t="s">
        <v>441</v>
      </c>
      <c r="DH20" t="s">
        <v>441</v>
      </c>
      <c r="DI20" t="s">
        <v>441</v>
      </c>
      <c r="DJ20">
        <v>479282</v>
      </c>
      <c r="DK20">
        <v>46299</v>
      </c>
      <c r="DM20" t="s">
        <v>686</v>
      </c>
      <c r="DO20" t="s">
        <v>687</v>
      </c>
      <c r="DP20" t="s">
        <v>543</v>
      </c>
      <c r="DQ20" t="s">
        <v>409</v>
      </c>
      <c r="DV20">
        <v>31420</v>
      </c>
      <c r="DW20">
        <v>40</v>
      </c>
      <c r="DX20">
        <v>1</v>
      </c>
      <c r="DY20">
        <v>4</v>
      </c>
      <c r="DZ20">
        <v>1</v>
      </c>
      <c r="EA20" t="s">
        <v>431</v>
      </c>
      <c r="EB20" t="s">
        <v>688</v>
      </c>
      <c r="EC20">
        <v>180000</v>
      </c>
      <c r="EG20">
        <v>0</v>
      </c>
      <c r="EH20">
        <v>0</v>
      </c>
      <c r="EI20">
        <v>0</v>
      </c>
      <c r="EJ20">
        <v>0</v>
      </c>
      <c r="EK20">
        <v>0</v>
      </c>
      <c r="EM20">
        <v>0</v>
      </c>
      <c r="EN20">
        <v>40000000</v>
      </c>
      <c r="EO20">
        <v>0</v>
      </c>
      <c r="EP20">
        <v>0</v>
      </c>
      <c r="EQ20">
        <v>0</v>
      </c>
      <c r="ER20">
        <v>0</v>
      </c>
      <c r="ES20">
        <v>0</v>
      </c>
      <c r="EU20">
        <v>20000000</v>
      </c>
      <c r="EW20" t="s">
        <v>486</v>
      </c>
      <c r="EX20" t="s">
        <v>448</v>
      </c>
      <c r="EY20">
        <v>45540</v>
      </c>
      <c r="EZ20">
        <v>45540</v>
      </c>
      <c r="FA20">
        <v>0</v>
      </c>
      <c r="FB20">
        <v>0</v>
      </c>
      <c r="FC20">
        <v>24000000</v>
      </c>
      <c r="FD20" t="s">
        <v>689</v>
      </c>
      <c r="FF20" t="s">
        <v>690</v>
      </c>
      <c r="FG20">
        <v>46296</v>
      </c>
      <c r="FH20">
        <v>46301</v>
      </c>
    </row>
    <row r="21" spans="1:164" x14ac:dyDescent="0.3">
      <c r="A21" t="s">
        <v>343</v>
      </c>
      <c r="B21" t="s">
        <v>343</v>
      </c>
      <c r="C21">
        <v>36</v>
      </c>
      <c r="D21">
        <v>36</v>
      </c>
      <c r="E21">
        <v>46280</v>
      </c>
      <c r="F21">
        <v>1500000</v>
      </c>
      <c r="G21">
        <v>1500000</v>
      </c>
      <c r="H21" t="s">
        <v>328</v>
      </c>
      <c r="I21">
        <v>1051797.76</v>
      </c>
      <c r="J21" t="s">
        <v>468</v>
      </c>
      <c r="K21">
        <v>46300</v>
      </c>
      <c r="L21">
        <v>46300.680983796294</v>
      </c>
      <c r="M21">
        <v>47396</v>
      </c>
      <c r="N21" t="s">
        <v>410</v>
      </c>
      <c r="O21" t="s">
        <v>61</v>
      </c>
      <c r="P21" t="s">
        <v>451</v>
      </c>
      <c r="R21" t="s">
        <v>366</v>
      </c>
      <c r="S21" t="s">
        <v>367</v>
      </c>
      <c r="T21" t="s">
        <v>412</v>
      </c>
      <c r="U21" t="s">
        <v>413</v>
      </c>
      <c r="V21" t="s">
        <v>414</v>
      </c>
      <c r="W21" t="s">
        <v>371</v>
      </c>
      <c r="X21">
        <v>547</v>
      </c>
      <c r="Y21" t="s">
        <v>578</v>
      </c>
      <c r="AA21" t="s">
        <v>373</v>
      </c>
      <c r="AB21" t="s">
        <v>496</v>
      </c>
      <c r="AC21">
        <v>1</v>
      </c>
      <c r="AD21" t="s">
        <v>497</v>
      </c>
      <c r="AE21" t="s">
        <v>374</v>
      </c>
      <c r="AF21" t="s">
        <v>421</v>
      </c>
      <c r="AG21" t="s">
        <v>691</v>
      </c>
      <c r="AH21" t="s">
        <v>691</v>
      </c>
      <c r="AK21">
        <v>0</v>
      </c>
      <c r="AL21" t="s">
        <v>377</v>
      </c>
      <c r="AM21">
        <v>14.99</v>
      </c>
      <c r="AN21">
        <v>14.99</v>
      </c>
      <c r="AQ21" t="s">
        <v>378</v>
      </c>
      <c r="AR21" t="s">
        <v>378</v>
      </c>
      <c r="AS21" t="s">
        <v>423</v>
      </c>
      <c r="AT21" t="s">
        <v>380</v>
      </c>
      <c r="AU21" t="s">
        <v>381</v>
      </c>
      <c r="AV21" t="s">
        <v>500</v>
      </c>
      <c r="AW21" t="s">
        <v>501</v>
      </c>
      <c r="AX21">
        <v>3</v>
      </c>
      <c r="AY21">
        <v>0</v>
      </c>
      <c r="AZ21">
        <v>3</v>
      </c>
      <c r="BA21">
        <v>1166400</v>
      </c>
      <c r="BB21" t="s">
        <v>426</v>
      </c>
      <c r="BD21" t="s">
        <v>427</v>
      </c>
      <c r="BE21" t="s">
        <v>427</v>
      </c>
      <c r="BF21">
        <v>45806</v>
      </c>
      <c r="BG21">
        <v>1500000</v>
      </c>
      <c r="BH21">
        <v>0</v>
      </c>
      <c r="BI21">
        <v>1500000</v>
      </c>
      <c r="BL21">
        <v>903050</v>
      </c>
      <c r="BM21" t="s">
        <v>387</v>
      </c>
      <c r="BN21" t="s">
        <v>429</v>
      </c>
      <c r="BO21" t="s">
        <v>569</v>
      </c>
      <c r="BP21">
        <v>10001</v>
      </c>
      <c r="BQ21">
        <v>8112</v>
      </c>
      <c r="BR21" t="s">
        <v>389</v>
      </c>
      <c r="BS21" t="s">
        <v>389</v>
      </c>
      <c r="BT21" t="s">
        <v>389</v>
      </c>
      <c r="BU21" t="s">
        <v>390</v>
      </c>
      <c r="BV21">
        <v>1012</v>
      </c>
      <c r="BW21" t="s">
        <v>433</v>
      </c>
      <c r="BX21" t="s">
        <v>392</v>
      </c>
      <c r="BY21">
        <v>46370</v>
      </c>
      <c r="BZ21" t="s">
        <v>503</v>
      </c>
      <c r="CA21">
        <v>46370</v>
      </c>
      <c r="CB21">
        <v>14</v>
      </c>
      <c r="CC21" t="s">
        <v>394</v>
      </c>
      <c r="CD21">
        <v>1001</v>
      </c>
      <c r="CE21" t="s">
        <v>434</v>
      </c>
      <c r="CF21" t="s">
        <v>395</v>
      </c>
      <c r="CG21">
        <v>21006</v>
      </c>
      <c r="CH21" t="s">
        <v>396</v>
      </c>
      <c r="CI21" t="s">
        <v>397</v>
      </c>
      <c r="CJ21" t="s">
        <v>398</v>
      </c>
      <c r="CK21" t="s">
        <v>435</v>
      </c>
      <c r="CL21">
        <v>21025</v>
      </c>
      <c r="CM21">
        <v>1001</v>
      </c>
      <c r="CN21" t="s">
        <v>400</v>
      </c>
      <c r="CO21" t="s">
        <v>387</v>
      </c>
      <c r="CP21" t="s">
        <v>401</v>
      </c>
      <c r="CQ21" t="s">
        <v>402</v>
      </c>
      <c r="CR21" t="s">
        <v>403</v>
      </c>
      <c r="CS21" t="s">
        <v>441</v>
      </c>
      <c r="CW21">
        <v>1076305.51</v>
      </c>
      <c r="CX21">
        <v>1076305.51</v>
      </c>
      <c r="CY21">
        <v>1076305.51</v>
      </c>
      <c r="CZ21" t="s">
        <v>404</v>
      </c>
      <c r="DA21" t="s">
        <v>405</v>
      </c>
      <c r="DD21" t="s">
        <v>409</v>
      </c>
      <c r="DG21" t="s">
        <v>441</v>
      </c>
      <c r="DH21" t="s">
        <v>441</v>
      </c>
      <c r="DI21" t="s">
        <v>441</v>
      </c>
      <c r="DJ21">
        <v>479406</v>
      </c>
      <c r="DK21">
        <v>46300</v>
      </c>
      <c r="DM21" t="s">
        <v>692</v>
      </c>
      <c r="DO21" t="s">
        <v>693</v>
      </c>
      <c r="DP21" t="s">
        <v>408</v>
      </c>
      <c r="DQ21" t="s">
        <v>409</v>
      </c>
      <c r="DV21">
        <v>30651</v>
      </c>
      <c r="DW21">
        <v>43</v>
      </c>
      <c r="DX21">
        <v>1</v>
      </c>
      <c r="DY21">
        <v>51</v>
      </c>
      <c r="DZ21">
        <v>1</v>
      </c>
      <c r="EA21" t="s">
        <v>389</v>
      </c>
      <c r="EB21" t="s">
        <v>389</v>
      </c>
      <c r="EC21">
        <v>11250</v>
      </c>
      <c r="EG21">
        <v>0</v>
      </c>
      <c r="EH21">
        <v>0</v>
      </c>
      <c r="EI21">
        <v>0</v>
      </c>
      <c r="EJ21">
        <v>50000</v>
      </c>
      <c r="EK21">
        <v>0</v>
      </c>
      <c r="EL21" t="s">
        <v>694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 t="s">
        <v>560</v>
      </c>
      <c r="EU21">
        <v>50000</v>
      </c>
      <c r="EW21" t="s">
        <v>393</v>
      </c>
      <c r="EX21" t="s">
        <v>487</v>
      </c>
      <c r="EY21">
        <v>4743.75</v>
      </c>
      <c r="EZ21">
        <v>4743.75</v>
      </c>
      <c r="FA21">
        <v>24507.75</v>
      </c>
      <c r="FB21">
        <v>0</v>
      </c>
      <c r="FC21">
        <v>1076306</v>
      </c>
      <c r="FD21" t="s">
        <v>695</v>
      </c>
      <c r="FF21" t="s">
        <v>696</v>
      </c>
      <c r="FG21">
        <v>46296</v>
      </c>
      <c r="FH21">
        <v>46301</v>
      </c>
    </row>
    <row r="22" spans="1:164" x14ac:dyDescent="0.3">
      <c r="A22" t="s">
        <v>344</v>
      </c>
      <c r="B22" t="s">
        <v>344</v>
      </c>
      <c r="C22">
        <v>36</v>
      </c>
      <c r="D22">
        <v>36</v>
      </c>
      <c r="E22">
        <v>46286</v>
      </c>
      <c r="F22">
        <v>4500000</v>
      </c>
      <c r="G22">
        <v>4500000</v>
      </c>
      <c r="H22" t="s">
        <v>328</v>
      </c>
      <c r="I22">
        <v>3809568.36</v>
      </c>
      <c r="J22" t="s">
        <v>468</v>
      </c>
      <c r="K22">
        <v>46300</v>
      </c>
      <c r="L22">
        <v>46300.726886574077</v>
      </c>
      <c r="M22">
        <v>47396</v>
      </c>
      <c r="N22" t="s">
        <v>410</v>
      </c>
      <c r="O22" t="s">
        <v>93</v>
      </c>
      <c r="P22" t="s">
        <v>697</v>
      </c>
      <c r="R22" t="s">
        <v>366</v>
      </c>
      <c r="S22" t="s">
        <v>367</v>
      </c>
      <c r="T22" t="s">
        <v>412</v>
      </c>
      <c r="U22" t="s">
        <v>413</v>
      </c>
      <c r="V22" t="s">
        <v>414</v>
      </c>
      <c r="W22" t="s">
        <v>371</v>
      </c>
      <c r="X22">
        <v>122</v>
      </c>
      <c r="Y22" t="s">
        <v>698</v>
      </c>
      <c r="Z22" t="s">
        <v>453</v>
      </c>
      <c r="AA22" t="s">
        <v>454</v>
      </c>
      <c r="AB22" t="s">
        <v>496</v>
      </c>
      <c r="AC22">
        <v>1</v>
      </c>
      <c r="AD22" t="s">
        <v>497</v>
      </c>
      <c r="AE22" t="s">
        <v>548</v>
      </c>
      <c r="AF22" t="s">
        <v>421</v>
      </c>
      <c r="AG22" t="s">
        <v>699</v>
      </c>
      <c r="AH22" t="s">
        <v>699</v>
      </c>
      <c r="AK22">
        <v>0</v>
      </c>
      <c r="AL22" t="s">
        <v>377</v>
      </c>
      <c r="AM22">
        <v>14.99</v>
      </c>
      <c r="AN22">
        <v>14.99</v>
      </c>
      <c r="AQ22" t="s">
        <v>378</v>
      </c>
      <c r="AR22" t="s">
        <v>378</v>
      </c>
      <c r="AS22" t="s">
        <v>423</v>
      </c>
      <c r="AT22" t="s">
        <v>380</v>
      </c>
      <c r="AU22" t="s">
        <v>381</v>
      </c>
      <c r="AV22" t="s">
        <v>700</v>
      </c>
      <c r="AW22" t="s">
        <v>701</v>
      </c>
      <c r="AX22">
        <v>5</v>
      </c>
      <c r="AY22">
        <v>0</v>
      </c>
      <c r="AZ22">
        <v>5</v>
      </c>
      <c r="BA22">
        <v>540000</v>
      </c>
      <c r="BB22" t="s">
        <v>426</v>
      </c>
      <c r="BD22" t="s">
        <v>427</v>
      </c>
      <c r="BE22" t="s">
        <v>427</v>
      </c>
      <c r="BF22">
        <v>45804</v>
      </c>
      <c r="BG22">
        <v>4500000</v>
      </c>
      <c r="BH22">
        <v>0</v>
      </c>
      <c r="BI22">
        <v>4500000</v>
      </c>
      <c r="BL22">
        <v>903040</v>
      </c>
      <c r="BM22" t="s">
        <v>552</v>
      </c>
      <c r="BN22" t="s">
        <v>429</v>
      </c>
      <c r="BO22" t="s">
        <v>569</v>
      </c>
      <c r="BP22">
        <v>10001</v>
      </c>
      <c r="BQ22">
        <v>8111</v>
      </c>
      <c r="BR22" t="s">
        <v>389</v>
      </c>
      <c r="BS22" t="s">
        <v>389</v>
      </c>
      <c r="BT22" t="s">
        <v>389</v>
      </c>
      <c r="BU22" t="s">
        <v>553</v>
      </c>
      <c r="BV22">
        <v>1012</v>
      </c>
      <c r="BW22" t="s">
        <v>433</v>
      </c>
      <c r="BX22" t="s">
        <v>392</v>
      </c>
      <c r="BY22">
        <v>46370</v>
      </c>
      <c r="BZ22" t="s">
        <v>503</v>
      </c>
      <c r="CA22">
        <v>46370</v>
      </c>
      <c r="CB22">
        <v>14</v>
      </c>
      <c r="CC22" t="s">
        <v>394</v>
      </c>
      <c r="CD22">
        <v>1001</v>
      </c>
      <c r="CE22" t="s">
        <v>434</v>
      </c>
      <c r="CF22" t="s">
        <v>395</v>
      </c>
      <c r="CG22">
        <v>21006</v>
      </c>
      <c r="CH22" t="s">
        <v>396</v>
      </c>
      <c r="CI22" t="s">
        <v>397</v>
      </c>
      <c r="CJ22" t="s">
        <v>398</v>
      </c>
      <c r="CK22" t="s">
        <v>435</v>
      </c>
      <c r="CL22">
        <v>21025</v>
      </c>
      <c r="CM22">
        <v>1001</v>
      </c>
      <c r="CN22" t="s">
        <v>400</v>
      </c>
      <c r="CO22" t="s">
        <v>552</v>
      </c>
      <c r="CP22" t="s">
        <v>401</v>
      </c>
      <c r="CQ22" t="s">
        <v>402</v>
      </c>
      <c r="CR22" t="s">
        <v>403</v>
      </c>
      <c r="CS22" t="s">
        <v>441</v>
      </c>
      <c r="CW22">
        <v>3852108.26</v>
      </c>
      <c r="CX22">
        <v>3852108.26</v>
      </c>
      <c r="CY22">
        <v>3852108.26</v>
      </c>
      <c r="CZ22" t="s">
        <v>404</v>
      </c>
      <c r="DA22" t="s">
        <v>405</v>
      </c>
      <c r="DD22" t="s">
        <v>93</v>
      </c>
      <c r="DG22" t="s">
        <v>441</v>
      </c>
      <c r="DH22" t="s">
        <v>441</v>
      </c>
      <c r="DI22" t="s">
        <v>441</v>
      </c>
      <c r="DJ22">
        <v>479436</v>
      </c>
      <c r="DK22">
        <v>46300</v>
      </c>
      <c r="DM22" t="s">
        <v>702</v>
      </c>
      <c r="DO22" t="s">
        <v>703</v>
      </c>
      <c r="DP22" t="s">
        <v>704</v>
      </c>
      <c r="DQ22" t="s">
        <v>93</v>
      </c>
      <c r="DV22">
        <v>36775</v>
      </c>
      <c r="DW22">
        <v>26</v>
      </c>
      <c r="DX22">
        <v>1</v>
      </c>
      <c r="DY22">
        <v>33</v>
      </c>
      <c r="DZ22">
        <v>1</v>
      </c>
      <c r="EA22" t="s">
        <v>389</v>
      </c>
      <c r="EB22" t="s">
        <v>389</v>
      </c>
      <c r="EC22">
        <v>22500</v>
      </c>
      <c r="EG22">
        <v>0</v>
      </c>
      <c r="EH22">
        <v>0</v>
      </c>
      <c r="EI22">
        <v>0</v>
      </c>
      <c r="EJ22">
        <v>700000</v>
      </c>
      <c r="EK22">
        <v>0</v>
      </c>
      <c r="EL22" t="s">
        <v>705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 t="s">
        <v>560</v>
      </c>
      <c r="EU22">
        <v>700000</v>
      </c>
      <c r="EW22" t="s">
        <v>393</v>
      </c>
      <c r="EX22" t="s">
        <v>487</v>
      </c>
      <c r="EY22">
        <v>9018.9</v>
      </c>
      <c r="EZ22">
        <v>9018.9</v>
      </c>
      <c r="FA22">
        <v>42539.9</v>
      </c>
      <c r="FB22">
        <v>0</v>
      </c>
      <c r="FC22">
        <v>3852108</v>
      </c>
      <c r="FD22" t="s">
        <v>706</v>
      </c>
      <c r="FF22" t="s">
        <v>707</v>
      </c>
      <c r="FG22">
        <v>46296</v>
      </c>
      <c r="FH22">
        <v>46301</v>
      </c>
    </row>
    <row r="23" spans="1:164" x14ac:dyDescent="0.3">
      <c r="A23" t="s">
        <v>345</v>
      </c>
      <c r="B23" t="s">
        <v>345</v>
      </c>
      <c r="C23">
        <v>36</v>
      </c>
      <c r="D23">
        <v>36</v>
      </c>
      <c r="E23">
        <v>46294</v>
      </c>
      <c r="F23">
        <v>9000000</v>
      </c>
      <c r="G23">
        <v>9000000</v>
      </c>
      <c r="H23" t="s">
        <v>324</v>
      </c>
      <c r="I23">
        <v>9000000</v>
      </c>
      <c r="J23" t="s">
        <v>363</v>
      </c>
      <c r="K23">
        <v>46296</v>
      </c>
      <c r="L23">
        <v>46296.733761574076</v>
      </c>
      <c r="M23">
        <v>47396</v>
      </c>
      <c r="N23" t="s">
        <v>410</v>
      </c>
      <c r="O23" t="s">
        <v>105</v>
      </c>
      <c r="P23" t="s">
        <v>530</v>
      </c>
      <c r="R23" t="s">
        <v>366</v>
      </c>
      <c r="S23" t="s">
        <v>367</v>
      </c>
      <c r="T23" t="s">
        <v>708</v>
      </c>
      <c r="U23" t="s">
        <v>709</v>
      </c>
      <c r="V23" t="s">
        <v>414</v>
      </c>
      <c r="W23" t="s">
        <v>371</v>
      </c>
      <c r="X23">
        <v>64</v>
      </c>
      <c r="Y23" t="s">
        <v>710</v>
      </c>
      <c r="Z23" t="s">
        <v>619</v>
      </c>
      <c r="AA23" t="s">
        <v>620</v>
      </c>
      <c r="AB23" t="s">
        <v>515</v>
      </c>
      <c r="AC23">
        <v>1</v>
      </c>
      <c r="AD23" t="s">
        <v>497</v>
      </c>
      <c r="AE23" t="s">
        <v>548</v>
      </c>
      <c r="AF23" t="s">
        <v>421</v>
      </c>
      <c r="AG23" t="s">
        <v>711</v>
      </c>
      <c r="AH23" t="s">
        <v>711</v>
      </c>
      <c r="AK23">
        <v>0</v>
      </c>
      <c r="AL23" t="s">
        <v>377</v>
      </c>
      <c r="AM23">
        <v>7</v>
      </c>
      <c r="AN23">
        <v>7</v>
      </c>
      <c r="AQ23" t="s">
        <v>378</v>
      </c>
      <c r="AR23" t="s">
        <v>378</v>
      </c>
      <c r="AS23" t="s">
        <v>423</v>
      </c>
      <c r="AT23" t="s">
        <v>380</v>
      </c>
      <c r="AU23" t="s">
        <v>381</v>
      </c>
      <c r="AV23" t="s">
        <v>712</v>
      </c>
      <c r="AW23" t="s">
        <v>713</v>
      </c>
      <c r="AX23">
        <v>20</v>
      </c>
      <c r="AY23">
        <v>0</v>
      </c>
      <c r="AZ23">
        <v>20</v>
      </c>
      <c r="BA23">
        <v>4140000</v>
      </c>
      <c r="BB23" t="s">
        <v>426</v>
      </c>
      <c r="BD23" t="s">
        <v>427</v>
      </c>
      <c r="BE23" t="s">
        <v>427</v>
      </c>
      <c r="BF23">
        <v>45974</v>
      </c>
      <c r="BG23">
        <v>9000000</v>
      </c>
      <c r="BH23">
        <v>0</v>
      </c>
      <c r="BI23">
        <v>9000000</v>
      </c>
      <c r="BL23">
        <v>903040</v>
      </c>
      <c r="BM23" t="s">
        <v>552</v>
      </c>
      <c r="BN23" t="s">
        <v>429</v>
      </c>
      <c r="BO23" t="s">
        <v>569</v>
      </c>
      <c r="BP23">
        <v>10001</v>
      </c>
      <c r="BQ23">
        <v>8111</v>
      </c>
      <c r="BR23" t="s">
        <v>389</v>
      </c>
      <c r="BS23" t="s">
        <v>389</v>
      </c>
      <c r="BT23" t="s">
        <v>389</v>
      </c>
      <c r="BU23" t="s">
        <v>553</v>
      </c>
      <c r="BV23">
        <v>1012</v>
      </c>
      <c r="BW23" t="s">
        <v>433</v>
      </c>
      <c r="BX23" t="s">
        <v>392</v>
      </c>
      <c r="BY23">
        <v>46370</v>
      </c>
      <c r="BZ23" t="s">
        <v>503</v>
      </c>
      <c r="CA23">
        <v>46370</v>
      </c>
      <c r="CB23">
        <v>14</v>
      </c>
      <c r="CC23" t="s">
        <v>394</v>
      </c>
      <c r="CD23">
        <v>1001</v>
      </c>
      <c r="CE23" t="s">
        <v>434</v>
      </c>
      <c r="CF23" t="s">
        <v>395</v>
      </c>
      <c r="CG23">
        <v>21006</v>
      </c>
      <c r="CH23" t="s">
        <v>396</v>
      </c>
      <c r="CI23" t="s">
        <v>397</v>
      </c>
      <c r="CJ23" t="s">
        <v>398</v>
      </c>
      <c r="CK23" t="s">
        <v>435</v>
      </c>
      <c r="CL23">
        <v>21025</v>
      </c>
      <c r="CM23">
        <v>1001</v>
      </c>
      <c r="CN23" t="s">
        <v>400</v>
      </c>
      <c r="CO23" t="s">
        <v>552</v>
      </c>
      <c r="CP23" t="s">
        <v>401</v>
      </c>
      <c r="CQ23" t="s">
        <v>402</v>
      </c>
      <c r="CR23" t="s">
        <v>403</v>
      </c>
      <c r="CS23" t="s">
        <v>438</v>
      </c>
      <c r="CW23">
        <v>0</v>
      </c>
      <c r="CX23">
        <v>0</v>
      </c>
      <c r="CY23">
        <v>0</v>
      </c>
      <c r="CZ23" t="s">
        <v>404</v>
      </c>
      <c r="DA23" t="s">
        <v>405</v>
      </c>
      <c r="DD23" t="s">
        <v>409</v>
      </c>
      <c r="DG23" t="s">
        <v>441</v>
      </c>
      <c r="DH23" t="s">
        <v>441</v>
      </c>
      <c r="DI23" t="s">
        <v>441</v>
      </c>
      <c r="DJ23">
        <v>479177</v>
      </c>
      <c r="DK23">
        <v>46296</v>
      </c>
      <c r="DM23" t="s">
        <v>714</v>
      </c>
      <c r="DO23" t="s">
        <v>715</v>
      </c>
      <c r="DP23" t="s">
        <v>543</v>
      </c>
      <c r="DQ23" t="s">
        <v>409</v>
      </c>
      <c r="DV23">
        <v>31514</v>
      </c>
      <c r="DW23">
        <v>40</v>
      </c>
      <c r="DX23">
        <v>1</v>
      </c>
      <c r="DY23">
        <v>17</v>
      </c>
      <c r="DZ23">
        <v>1</v>
      </c>
      <c r="EA23" t="s">
        <v>389</v>
      </c>
      <c r="EB23" t="s">
        <v>389</v>
      </c>
      <c r="EC23">
        <v>67500</v>
      </c>
      <c r="EG23">
        <v>0</v>
      </c>
      <c r="EH23">
        <v>0</v>
      </c>
      <c r="EI23">
        <v>0</v>
      </c>
      <c r="EJ23">
        <v>0</v>
      </c>
      <c r="EK23">
        <v>0</v>
      </c>
      <c r="EM23">
        <v>0</v>
      </c>
      <c r="EN23">
        <v>9600000</v>
      </c>
      <c r="EO23">
        <v>0</v>
      </c>
      <c r="EP23">
        <v>0</v>
      </c>
      <c r="EQ23">
        <v>0</v>
      </c>
      <c r="ER23">
        <v>450000</v>
      </c>
      <c r="ES23">
        <v>0</v>
      </c>
      <c r="EU23">
        <v>5250000</v>
      </c>
      <c r="EW23" t="s">
        <v>393</v>
      </c>
      <c r="EX23" t="s">
        <v>487</v>
      </c>
      <c r="EY23">
        <v>22200.75</v>
      </c>
      <c r="EZ23">
        <v>22200.75</v>
      </c>
      <c r="FA23">
        <v>0</v>
      </c>
      <c r="FB23">
        <v>0</v>
      </c>
      <c r="FC23">
        <v>9000000</v>
      </c>
      <c r="FD23" t="s">
        <v>716</v>
      </c>
      <c r="FF23" t="s">
        <v>717</v>
      </c>
      <c r="FG23">
        <v>46296</v>
      </c>
      <c r="FH23">
        <v>46301</v>
      </c>
    </row>
    <row r="24" spans="1:164" x14ac:dyDescent="0.3">
      <c r="A24" t="s">
        <v>346</v>
      </c>
      <c r="B24" t="s">
        <v>346</v>
      </c>
      <c r="C24">
        <v>12</v>
      </c>
      <c r="D24">
        <v>12</v>
      </c>
      <c r="E24">
        <v>46295</v>
      </c>
      <c r="F24">
        <v>7000000</v>
      </c>
      <c r="G24">
        <v>7000000</v>
      </c>
      <c r="H24" t="s">
        <v>324</v>
      </c>
      <c r="I24">
        <v>7000000</v>
      </c>
      <c r="J24" t="s">
        <v>468</v>
      </c>
      <c r="K24">
        <v>46299</v>
      </c>
      <c r="L24">
        <v>46299.644999999997</v>
      </c>
      <c r="M24">
        <v>46665</v>
      </c>
      <c r="N24" t="s">
        <v>410</v>
      </c>
      <c r="O24" t="s">
        <v>45</v>
      </c>
      <c r="P24" t="s">
        <v>365</v>
      </c>
      <c r="R24" t="s">
        <v>366</v>
      </c>
      <c r="S24" t="s">
        <v>367</v>
      </c>
      <c r="T24" t="s">
        <v>597</v>
      </c>
      <c r="U24" t="s">
        <v>598</v>
      </c>
      <c r="V24" t="s">
        <v>414</v>
      </c>
      <c r="W24" t="s">
        <v>371</v>
      </c>
      <c r="X24">
        <v>547</v>
      </c>
      <c r="Y24" t="s">
        <v>578</v>
      </c>
      <c r="AA24" t="s">
        <v>373</v>
      </c>
      <c r="AB24" t="s">
        <v>471</v>
      </c>
      <c r="AC24">
        <v>1</v>
      </c>
      <c r="AD24" t="s">
        <v>497</v>
      </c>
      <c r="AE24" t="s">
        <v>548</v>
      </c>
      <c r="AF24" t="s">
        <v>421</v>
      </c>
      <c r="AG24" t="s">
        <v>718</v>
      </c>
      <c r="AH24" t="s">
        <v>718</v>
      </c>
      <c r="AK24">
        <v>0</v>
      </c>
      <c r="AL24" t="s">
        <v>377</v>
      </c>
      <c r="AM24">
        <v>9</v>
      </c>
      <c r="AN24">
        <v>9</v>
      </c>
      <c r="AQ24" t="s">
        <v>378</v>
      </c>
      <c r="AR24" t="s">
        <v>378</v>
      </c>
      <c r="AS24" t="s">
        <v>423</v>
      </c>
      <c r="AT24" t="s">
        <v>380</v>
      </c>
      <c r="AU24" t="s">
        <v>381</v>
      </c>
      <c r="AV24" t="s">
        <v>719</v>
      </c>
      <c r="AW24" t="s">
        <v>720</v>
      </c>
      <c r="AX24">
        <v>5</v>
      </c>
      <c r="AY24">
        <v>0</v>
      </c>
      <c r="AZ24">
        <v>5</v>
      </c>
      <c r="BA24">
        <v>720000</v>
      </c>
      <c r="BB24" t="s">
        <v>426</v>
      </c>
      <c r="BD24" t="s">
        <v>427</v>
      </c>
      <c r="BE24" t="s">
        <v>427</v>
      </c>
      <c r="BF24">
        <v>45646.609109756944</v>
      </c>
      <c r="BG24">
        <v>7000000</v>
      </c>
      <c r="BH24">
        <v>0</v>
      </c>
      <c r="BI24">
        <v>7000000</v>
      </c>
      <c r="BL24">
        <v>903040</v>
      </c>
      <c r="BM24" t="s">
        <v>552</v>
      </c>
      <c r="BN24" t="s">
        <v>429</v>
      </c>
      <c r="BO24" t="s">
        <v>569</v>
      </c>
      <c r="BP24">
        <v>10001</v>
      </c>
      <c r="BQ24">
        <v>8111</v>
      </c>
      <c r="BR24" t="s">
        <v>389</v>
      </c>
      <c r="BS24" t="s">
        <v>389</v>
      </c>
      <c r="BT24" t="s">
        <v>389</v>
      </c>
      <c r="BU24" t="s">
        <v>553</v>
      </c>
      <c r="BV24">
        <v>1012</v>
      </c>
      <c r="BW24" t="s">
        <v>433</v>
      </c>
      <c r="BX24" t="s">
        <v>392</v>
      </c>
      <c r="BY24">
        <v>46370</v>
      </c>
      <c r="BZ24" t="s">
        <v>503</v>
      </c>
      <c r="CA24">
        <v>46370</v>
      </c>
      <c r="CB24">
        <v>14</v>
      </c>
      <c r="CC24" t="s">
        <v>394</v>
      </c>
      <c r="CD24">
        <v>1001</v>
      </c>
      <c r="CE24" t="s">
        <v>434</v>
      </c>
      <c r="CF24" t="s">
        <v>478</v>
      </c>
      <c r="CG24">
        <v>21080</v>
      </c>
      <c r="CH24" t="s">
        <v>479</v>
      </c>
      <c r="CI24" t="s">
        <v>480</v>
      </c>
      <c r="CJ24" t="s">
        <v>478</v>
      </c>
      <c r="CK24" t="s">
        <v>435</v>
      </c>
      <c r="CL24">
        <v>21081</v>
      </c>
      <c r="CM24">
        <v>1001</v>
      </c>
      <c r="CN24" t="s">
        <v>400</v>
      </c>
      <c r="CO24" t="s">
        <v>552</v>
      </c>
      <c r="CP24" t="s">
        <v>401</v>
      </c>
      <c r="CQ24" t="s">
        <v>402</v>
      </c>
      <c r="CR24" t="s">
        <v>403</v>
      </c>
      <c r="CS24" t="s">
        <v>570</v>
      </c>
      <c r="CW24">
        <v>0</v>
      </c>
      <c r="CX24">
        <v>0</v>
      </c>
      <c r="CY24">
        <v>0</v>
      </c>
      <c r="CZ24" t="s">
        <v>404</v>
      </c>
      <c r="DA24" t="s">
        <v>471</v>
      </c>
      <c r="DD24" t="s">
        <v>409</v>
      </c>
      <c r="DG24" t="s">
        <v>441</v>
      </c>
      <c r="DH24" t="s">
        <v>441</v>
      </c>
      <c r="DI24" t="s">
        <v>441</v>
      </c>
      <c r="DJ24">
        <v>479247</v>
      </c>
      <c r="DK24">
        <v>46299</v>
      </c>
      <c r="DM24" t="s">
        <v>721</v>
      </c>
      <c r="DO24" t="s">
        <v>722</v>
      </c>
      <c r="DP24" t="s">
        <v>408</v>
      </c>
      <c r="DQ24" t="s">
        <v>409</v>
      </c>
      <c r="DV24">
        <v>30188</v>
      </c>
      <c r="DW24">
        <v>44</v>
      </c>
      <c r="DX24">
        <v>1</v>
      </c>
      <c r="DY24">
        <v>23</v>
      </c>
      <c r="DZ24">
        <v>1</v>
      </c>
      <c r="EA24" t="s">
        <v>389</v>
      </c>
      <c r="EB24" t="s">
        <v>389</v>
      </c>
      <c r="EC24">
        <v>52500</v>
      </c>
      <c r="EG24">
        <v>0</v>
      </c>
      <c r="EH24">
        <v>0</v>
      </c>
      <c r="EI24">
        <v>0</v>
      </c>
      <c r="EJ24">
        <v>0</v>
      </c>
      <c r="EK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700000</v>
      </c>
      <c r="ES24">
        <v>0</v>
      </c>
      <c r="EU24">
        <v>700000</v>
      </c>
      <c r="EW24" t="s">
        <v>393</v>
      </c>
      <c r="EX24" t="s">
        <v>487</v>
      </c>
      <c r="EY24">
        <v>13282.5</v>
      </c>
      <c r="EZ24">
        <v>13282.5</v>
      </c>
      <c r="FA24">
        <v>0</v>
      </c>
      <c r="FB24">
        <v>0</v>
      </c>
      <c r="FC24">
        <v>7000000</v>
      </c>
      <c r="FD24" t="s">
        <v>723</v>
      </c>
      <c r="FF24" t="s">
        <v>724</v>
      </c>
      <c r="FG24">
        <v>46296</v>
      </c>
      <c r="FH24">
        <v>46301</v>
      </c>
    </row>
    <row r="25" spans="1:164" x14ac:dyDescent="0.3">
      <c r="A25" t="s">
        <v>347</v>
      </c>
      <c r="B25" t="s">
        <v>347</v>
      </c>
      <c r="C25">
        <v>60</v>
      </c>
      <c r="D25">
        <v>60</v>
      </c>
      <c r="E25">
        <v>46240</v>
      </c>
      <c r="F25">
        <v>4000000</v>
      </c>
      <c r="G25">
        <v>4000000</v>
      </c>
      <c r="H25" t="s">
        <v>324</v>
      </c>
      <c r="I25">
        <v>4000000</v>
      </c>
      <c r="J25" t="s">
        <v>363</v>
      </c>
      <c r="K25">
        <v>46300</v>
      </c>
      <c r="L25">
        <v>46300.732789351852</v>
      </c>
      <c r="M25">
        <v>48126</v>
      </c>
      <c r="N25" t="s">
        <v>410</v>
      </c>
      <c r="O25" t="s">
        <v>61</v>
      </c>
      <c r="P25" t="s">
        <v>451</v>
      </c>
      <c r="R25" t="s">
        <v>366</v>
      </c>
      <c r="S25" t="s">
        <v>367</v>
      </c>
      <c r="T25" t="s">
        <v>725</v>
      </c>
      <c r="U25" t="s">
        <v>726</v>
      </c>
      <c r="V25" t="s">
        <v>414</v>
      </c>
      <c r="W25" t="s">
        <v>651</v>
      </c>
      <c r="X25">
        <v>500</v>
      </c>
      <c r="Y25" t="s">
        <v>727</v>
      </c>
      <c r="Z25" t="s">
        <v>728</v>
      </c>
      <c r="AA25" t="s">
        <v>729</v>
      </c>
      <c r="AB25" t="s">
        <v>730</v>
      </c>
      <c r="AC25">
        <v>16</v>
      </c>
      <c r="AD25" t="s">
        <v>731</v>
      </c>
      <c r="AE25" t="s">
        <v>732</v>
      </c>
      <c r="AF25" t="s">
        <v>375</v>
      </c>
      <c r="AG25" t="s">
        <v>733</v>
      </c>
      <c r="AH25" t="s">
        <v>733</v>
      </c>
      <c r="AK25">
        <v>0</v>
      </c>
      <c r="AL25" t="s">
        <v>377</v>
      </c>
      <c r="AM25">
        <v>7</v>
      </c>
      <c r="AN25">
        <v>7</v>
      </c>
      <c r="AQ25" t="s">
        <v>378</v>
      </c>
      <c r="AR25" t="s">
        <v>378</v>
      </c>
      <c r="AS25" t="s">
        <v>423</v>
      </c>
      <c r="AT25" t="s">
        <v>380</v>
      </c>
      <c r="AU25" t="s">
        <v>381</v>
      </c>
      <c r="AV25" t="s">
        <v>500</v>
      </c>
      <c r="AW25" t="s">
        <v>501</v>
      </c>
      <c r="AX25">
        <v>3</v>
      </c>
      <c r="AY25">
        <v>0</v>
      </c>
      <c r="AZ25">
        <v>3</v>
      </c>
      <c r="BA25">
        <v>6232950</v>
      </c>
      <c r="BB25" t="s">
        <v>384</v>
      </c>
      <c r="BD25" t="s">
        <v>427</v>
      </c>
      <c r="BE25" t="s">
        <v>427</v>
      </c>
      <c r="BF25">
        <v>44297</v>
      </c>
      <c r="BG25">
        <v>4000000</v>
      </c>
      <c r="BH25">
        <v>0</v>
      </c>
      <c r="BI25">
        <v>4000000</v>
      </c>
      <c r="BL25">
        <v>902401</v>
      </c>
      <c r="BM25" t="s">
        <v>734</v>
      </c>
      <c r="BN25" t="s">
        <v>429</v>
      </c>
      <c r="BO25" t="s">
        <v>659</v>
      </c>
      <c r="BP25">
        <v>10002</v>
      </c>
      <c r="BQ25">
        <v>6100</v>
      </c>
      <c r="BR25" t="s">
        <v>735</v>
      </c>
      <c r="BS25" t="s">
        <v>735</v>
      </c>
      <c r="BT25" t="s">
        <v>735</v>
      </c>
      <c r="BU25" t="s">
        <v>736</v>
      </c>
      <c r="BV25">
        <v>1026</v>
      </c>
      <c r="BW25" t="s">
        <v>737</v>
      </c>
      <c r="BX25" t="s">
        <v>392</v>
      </c>
      <c r="BY25">
        <v>46370</v>
      </c>
      <c r="BZ25" t="s">
        <v>738</v>
      </c>
      <c r="CA25">
        <v>46370</v>
      </c>
      <c r="CB25">
        <v>14</v>
      </c>
      <c r="CC25" t="s">
        <v>394</v>
      </c>
      <c r="CD25">
        <v>1001</v>
      </c>
      <c r="CE25" t="s">
        <v>434</v>
      </c>
      <c r="CF25" t="s">
        <v>395</v>
      </c>
      <c r="CG25">
        <v>21006</v>
      </c>
      <c r="CH25" t="s">
        <v>396</v>
      </c>
      <c r="CI25" t="s">
        <v>397</v>
      </c>
      <c r="CJ25" t="s">
        <v>521</v>
      </c>
      <c r="CK25" t="s">
        <v>435</v>
      </c>
      <c r="CL25">
        <v>21025</v>
      </c>
      <c r="CM25">
        <v>1001</v>
      </c>
      <c r="CN25" t="s">
        <v>400</v>
      </c>
      <c r="CO25" t="s">
        <v>461</v>
      </c>
      <c r="CP25" t="s">
        <v>437</v>
      </c>
      <c r="CQ25" t="s">
        <v>402</v>
      </c>
      <c r="CR25" t="s">
        <v>403</v>
      </c>
      <c r="CS25" t="s">
        <v>438</v>
      </c>
      <c r="CW25">
        <v>0</v>
      </c>
      <c r="CX25">
        <v>0</v>
      </c>
      <c r="CY25">
        <v>0</v>
      </c>
      <c r="CZ25" t="s">
        <v>439</v>
      </c>
      <c r="DA25" t="s">
        <v>405</v>
      </c>
      <c r="DB25" t="s">
        <v>440</v>
      </c>
      <c r="DD25" t="s">
        <v>409</v>
      </c>
      <c r="DG25" t="s">
        <v>441</v>
      </c>
      <c r="DH25" t="s">
        <v>441</v>
      </c>
      <c r="DI25" t="s">
        <v>441</v>
      </c>
      <c r="DJ25">
        <v>479437</v>
      </c>
      <c r="DK25">
        <v>46300</v>
      </c>
      <c r="DM25" t="s">
        <v>739</v>
      </c>
      <c r="DO25" t="s">
        <v>740</v>
      </c>
      <c r="DP25" t="s">
        <v>408</v>
      </c>
      <c r="DQ25" t="s">
        <v>409</v>
      </c>
      <c r="DX25">
        <v>1</v>
      </c>
      <c r="DY25">
        <v>34</v>
      </c>
      <c r="DZ25">
        <v>1</v>
      </c>
      <c r="EA25" t="s">
        <v>431</v>
      </c>
      <c r="EB25" t="s">
        <v>741</v>
      </c>
      <c r="EC25">
        <v>40000</v>
      </c>
      <c r="EG25">
        <v>0</v>
      </c>
      <c r="EH25">
        <v>0</v>
      </c>
      <c r="EI25">
        <v>0</v>
      </c>
      <c r="EJ25">
        <v>0</v>
      </c>
      <c r="EK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U25">
        <v>0</v>
      </c>
      <c r="EW25" t="s">
        <v>393</v>
      </c>
      <c r="EX25" t="s">
        <v>448</v>
      </c>
      <c r="EY25">
        <v>0</v>
      </c>
      <c r="EZ25">
        <v>0</v>
      </c>
      <c r="FA25">
        <v>0</v>
      </c>
      <c r="FB25">
        <v>0</v>
      </c>
      <c r="FC25">
        <v>4000000</v>
      </c>
      <c r="FF25" t="s">
        <v>742</v>
      </c>
      <c r="FG25">
        <v>46296</v>
      </c>
      <c r="FH25">
        <v>46301</v>
      </c>
    </row>
    <row r="26" spans="1:164" x14ac:dyDescent="0.3">
      <c r="A26" t="s">
        <v>348</v>
      </c>
      <c r="B26" t="s">
        <v>348</v>
      </c>
      <c r="C26">
        <v>12</v>
      </c>
      <c r="D26">
        <v>12</v>
      </c>
      <c r="E26">
        <v>46291</v>
      </c>
      <c r="F26">
        <v>500000</v>
      </c>
      <c r="G26">
        <v>500000</v>
      </c>
      <c r="H26" t="s">
        <v>324</v>
      </c>
      <c r="I26">
        <v>488703.75</v>
      </c>
      <c r="J26" t="s">
        <v>468</v>
      </c>
      <c r="K26">
        <v>46299</v>
      </c>
      <c r="L26">
        <v>46299.599004629628</v>
      </c>
      <c r="M26">
        <v>46665</v>
      </c>
      <c r="N26" t="s">
        <v>410</v>
      </c>
      <c r="O26" t="s">
        <v>57</v>
      </c>
      <c r="P26" t="s">
        <v>667</v>
      </c>
      <c r="R26" t="s">
        <v>366</v>
      </c>
      <c r="S26" t="s">
        <v>367</v>
      </c>
      <c r="T26" t="s">
        <v>576</v>
      </c>
      <c r="U26" t="s">
        <v>577</v>
      </c>
      <c r="V26" t="s">
        <v>414</v>
      </c>
      <c r="W26" t="s">
        <v>415</v>
      </c>
      <c r="X26">
        <v>153</v>
      </c>
      <c r="Y26" t="s">
        <v>743</v>
      </c>
      <c r="Z26" t="s">
        <v>669</v>
      </c>
      <c r="AA26" t="s">
        <v>670</v>
      </c>
      <c r="AB26" t="s">
        <v>471</v>
      </c>
      <c r="AC26">
        <v>3</v>
      </c>
      <c r="AD26" t="s">
        <v>671</v>
      </c>
      <c r="AE26" t="s">
        <v>744</v>
      </c>
      <c r="AF26" t="s">
        <v>421</v>
      </c>
      <c r="AG26" t="s">
        <v>745</v>
      </c>
      <c r="AH26" t="s">
        <v>745</v>
      </c>
      <c r="AK26">
        <v>0</v>
      </c>
      <c r="AL26" t="s">
        <v>377</v>
      </c>
      <c r="AM26">
        <v>15</v>
      </c>
      <c r="AN26">
        <v>15</v>
      </c>
      <c r="AQ26" t="s">
        <v>378</v>
      </c>
      <c r="AR26" t="s">
        <v>378</v>
      </c>
      <c r="AS26" t="s">
        <v>423</v>
      </c>
      <c r="AT26" t="s">
        <v>380</v>
      </c>
      <c r="AU26" t="s">
        <v>381</v>
      </c>
      <c r="AV26" t="s">
        <v>746</v>
      </c>
      <c r="AW26" t="s">
        <v>747</v>
      </c>
      <c r="AX26">
        <v>22</v>
      </c>
      <c r="AY26">
        <v>0</v>
      </c>
      <c r="AZ26">
        <v>22</v>
      </c>
      <c r="BA26">
        <v>18450000</v>
      </c>
      <c r="BB26" t="s">
        <v>384</v>
      </c>
      <c r="BD26" t="s">
        <v>427</v>
      </c>
      <c r="BE26" t="s">
        <v>427</v>
      </c>
      <c r="BF26">
        <v>45926.533608101854</v>
      </c>
      <c r="BG26">
        <v>500000</v>
      </c>
      <c r="BH26">
        <v>0</v>
      </c>
      <c r="BI26">
        <v>500000</v>
      </c>
      <c r="BL26">
        <v>902125</v>
      </c>
      <c r="BM26" t="s">
        <v>748</v>
      </c>
      <c r="BN26" t="s">
        <v>609</v>
      </c>
      <c r="BO26" t="s">
        <v>388</v>
      </c>
      <c r="BP26">
        <v>10012</v>
      </c>
      <c r="BQ26">
        <v>3090</v>
      </c>
      <c r="BR26" t="s">
        <v>431</v>
      </c>
      <c r="BS26" t="s">
        <v>431</v>
      </c>
      <c r="BT26" t="s">
        <v>431</v>
      </c>
      <c r="BU26" t="s">
        <v>610</v>
      </c>
      <c r="BV26">
        <v>1012</v>
      </c>
      <c r="BW26" t="s">
        <v>433</v>
      </c>
      <c r="BX26" t="s">
        <v>392</v>
      </c>
      <c r="BY26">
        <v>46370</v>
      </c>
      <c r="BZ26" t="s">
        <v>431</v>
      </c>
      <c r="CA26">
        <v>46370</v>
      </c>
      <c r="CB26">
        <v>14</v>
      </c>
      <c r="CC26" t="s">
        <v>394</v>
      </c>
      <c r="CD26">
        <v>1001</v>
      </c>
      <c r="CE26" t="s">
        <v>434</v>
      </c>
      <c r="CF26" t="s">
        <v>478</v>
      </c>
      <c r="CG26">
        <v>21080</v>
      </c>
      <c r="CH26" t="s">
        <v>479</v>
      </c>
      <c r="CI26" t="s">
        <v>480</v>
      </c>
      <c r="CJ26" t="s">
        <v>478</v>
      </c>
      <c r="CK26" t="s">
        <v>399</v>
      </c>
      <c r="CL26">
        <v>21083</v>
      </c>
      <c r="CM26">
        <v>1001</v>
      </c>
      <c r="CO26" t="s">
        <v>522</v>
      </c>
      <c r="CP26" t="s">
        <v>437</v>
      </c>
      <c r="CQ26" t="s">
        <v>402</v>
      </c>
      <c r="CR26" t="s">
        <v>403</v>
      </c>
      <c r="CS26" t="s">
        <v>749</v>
      </c>
      <c r="CW26">
        <v>0</v>
      </c>
      <c r="CX26">
        <v>0</v>
      </c>
      <c r="CY26">
        <v>0</v>
      </c>
      <c r="CZ26" t="s">
        <v>439</v>
      </c>
      <c r="DA26" t="s">
        <v>471</v>
      </c>
      <c r="DB26" t="s">
        <v>440</v>
      </c>
      <c r="DD26" t="s">
        <v>409</v>
      </c>
      <c r="DG26" t="s">
        <v>441</v>
      </c>
      <c r="DH26" t="s">
        <v>441</v>
      </c>
      <c r="DI26" t="s">
        <v>441</v>
      </c>
      <c r="DJ26">
        <v>479236</v>
      </c>
      <c r="DK26">
        <v>46299</v>
      </c>
      <c r="DM26" t="s">
        <v>750</v>
      </c>
      <c r="DO26" t="s">
        <v>751</v>
      </c>
      <c r="DP26" t="s">
        <v>677</v>
      </c>
      <c r="DQ26" t="s">
        <v>409</v>
      </c>
      <c r="DV26">
        <v>30302</v>
      </c>
      <c r="DW26">
        <v>44</v>
      </c>
      <c r="DX26">
        <v>1</v>
      </c>
      <c r="DY26">
        <v>58</v>
      </c>
      <c r="DZ26">
        <v>1</v>
      </c>
      <c r="EA26" t="s">
        <v>431</v>
      </c>
      <c r="EB26" t="s">
        <v>615</v>
      </c>
      <c r="EC26">
        <v>5000</v>
      </c>
      <c r="EG26">
        <v>0</v>
      </c>
      <c r="EH26">
        <v>0</v>
      </c>
      <c r="EI26">
        <v>0</v>
      </c>
      <c r="EJ26">
        <v>0</v>
      </c>
      <c r="EK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U26">
        <v>0</v>
      </c>
      <c r="EW26" t="s">
        <v>447</v>
      </c>
      <c r="EX26" t="s">
        <v>487</v>
      </c>
      <c r="EY26">
        <v>1581.25</v>
      </c>
      <c r="EZ26">
        <v>1581.25</v>
      </c>
      <c r="FA26">
        <v>0</v>
      </c>
      <c r="FB26">
        <v>0</v>
      </c>
      <c r="FC26">
        <v>500000</v>
      </c>
      <c r="FD26" t="s">
        <v>752</v>
      </c>
      <c r="FF26" t="s">
        <v>753</v>
      </c>
      <c r="FG26">
        <v>46296</v>
      </c>
      <c r="FH26">
        <v>46301</v>
      </c>
    </row>
    <row r="27" spans="1:164" x14ac:dyDescent="0.3">
      <c r="A27" t="s">
        <v>349</v>
      </c>
      <c r="B27" t="s">
        <v>349</v>
      </c>
      <c r="C27">
        <v>36</v>
      </c>
      <c r="D27">
        <v>36</v>
      </c>
      <c r="E27">
        <v>46264</v>
      </c>
      <c r="F27">
        <v>8200000</v>
      </c>
      <c r="G27">
        <v>8200000</v>
      </c>
      <c r="H27" t="s">
        <v>324</v>
      </c>
      <c r="I27">
        <v>8200000</v>
      </c>
      <c r="J27" t="s">
        <v>363</v>
      </c>
      <c r="K27">
        <v>46296</v>
      </c>
      <c r="L27">
        <v>46296.709965277776</v>
      </c>
      <c r="M27">
        <v>47396</v>
      </c>
      <c r="N27" t="s">
        <v>410</v>
      </c>
      <c r="O27" t="s">
        <v>73</v>
      </c>
      <c r="P27" t="s">
        <v>754</v>
      </c>
      <c r="R27" t="s">
        <v>366</v>
      </c>
      <c r="S27" t="s">
        <v>367</v>
      </c>
      <c r="T27" t="s">
        <v>725</v>
      </c>
      <c r="U27" t="s">
        <v>726</v>
      </c>
      <c r="V27" t="s">
        <v>414</v>
      </c>
      <c r="W27" t="s">
        <v>651</v>
      </c>
      <c r="X27">
        <v>161</v>
      </c>
      <c r="Y27" t="s">
        <v>755</v>
      </c>
      <c r="Z27" t="s">
        <v>728</v>
      </c>
      <c r="AA27" t="s">
        <v>729</v>
      </c>
      <c r="AB27" t="s">
        <v>730</v>
      </c>
      <c r="AC27">
        <v>16</v>
      </c>
      <c r="AD27" t="s">
        <v>731</v>
      </c>
      <c r="AE27" t="s">
        <v>756</v>
      </c>
      <c r="AF27" t="s">
        <v>421</v>
      </c>
      <c r="AG27" t="s">
        <v>757</v>
      </c>
      <c r="AH27" t="s">
        <v>757</v>
      </c>
      <c r="AK27">
        <v>0</v>
      </c>
      <c r="AL27" t="s">
        <v>377</v>
      </c>
      <c r="AM27">
        <v>7</v>
      </c>
      <c r="AN27">
        <v>7</v>
      </c>
      <c r="AQ27" t="s">
        <v>378</v>
      </c>
      <c r="AR27" t="s">
        <v>378</v>
      </c>
      <c r="AS27" t="s">
        <v>423</v>
      </c>
      <c r="AT27" t="s">
        <v>380</v>
      </c>
      <c r="AU27" t="s">
        <v>381</v>
      </c>
      <c r="AV27" t="s">
        <v>758</v>
      </c>
      <c r="AW27" t="s">
        <v>759</v>
      </c>
      <c r="AX27">
        <v>14</v>
      </c>
      <c r="AY27">
        <v>0</v>
      </c>
      <c r="AZ27">
        <v>14</v>
      </c>
      <c r="BA27">
        <v>12825000</v>
      </c>
      <c r="BB27" t="s">
        <v>384</v>
      </c>
      <c r="BD27" t="s">
        <v>427</v>
      </c>
      <c r="BE27" t="s">
        <v>427</v>
      </c>
      <c r="BF27">
        <v>45958</v>
      </c>
      <c r="BG27">
        <v>8200000</v>
      </c>
      <c r="BH27">
        <v>0</v>
      </c>
      <c r="BI27">
        <v>8200000</v>
      </c>
      <c r="BL27">
        <v>902401</v>
      </c>
      <c r="BM27" t="s">
        <v>734</v>
      </c>
      <c r="BN27" t="s">
        <v>429</v>
      </c>
      <c r="BO27" t="s">
        <v>659</v>
      </c>
      <c r="BP27">
        <v>10002</v>
      </c>
      <c r="BQ27">
        <v>6100</v>
      </c>
      <c r="BR27" t="s">
        <v>735</v>
      </c>
      <c r="BS27" t="s">
        <v>735</v>
      </c>
      <c r="BT27" t="s">
        <v>735</v>
      </c>
      <c r="BU27" t="s">
        <v>736</v>
      </c>
      <c r="BV27">
        <v>1026</v>
      </c>
      <c r="BW27" t="s">
        <v>737</v>
      </c>
      <c r="BX27" t="s">
        <v>392</v>
      </c>
      <c r="BY27">
        <v>46370</v>
      </c>
      <c r="BZ27" t="s">
        <v>738</v>
      </c>
      <c r="CA27">
        <v>46370</v>
      </c>
      <c r="CB27">
        <v>14</v>
      </c>
      <c r="CC27" t="s">
        <v>394</v>
      </c>
      <c r="CD27">
        <v>1001</v>
      </c>
      <c r="CE27" t="s">
        <v>434</v>
      </c>
      <c r="CF27" t="s">
        <v>395</v>
      </c>
      <c r="CG27">
        <v>21006</v>
      </c>
      <c r="CH27" t="s">
        <v>396</v>
      </c>
      <c r="CI27" t="s">
        <v>397</v>
      </c>
      <c r="CJ27" t="s">
        <v>398</v>
      </c>
      <c r="CK27" t="s">
        <v>435</v>
      </c>
      <c r="CL27">
        <v>21025</v>
      </c>
      <c r="CM27">
        <v>1001</v>
      </c>
      <c r="CN27" t="s">
        <v>400</v>
      </c>
      <c r="CO27" t="s">
        <v>461</v>
      </c>
      <c r="CP27" t="s">
        <v>437</v>
      </c>
      <c r="CQ27" t="s">
        <v>402</v>
      </c>
      <c r="CR27" t="s">
        <v>403</v>
      </c>
      <c r="CS27" t="s">
        <v>438</v>
      </c>
      <c r="CW27">
        <v>0</v>
      </c>
      <c r="CX27">
        <v>0</v>
      </c>
      <c r="CY27">
        <v>0</v>
      </c>
      <c r="CZ27" t="s">
        <v>439</v>
      </c>
      <c r="DA27" t="s">
        <v>405</v>
      </c>
      <c r="DB27" t="s">
        <v>440</v>
      </c>
      <c r="DD27" t="s">
        <v>760</v>
      </c>
      <c r="DG27" t="s">
        <v>441</v>
      </c>
      <c r="DH27" t="s">
        <v>441</v>
      </c>
      <c r="DI27" t="s">
        <v>441</v>
      </c>
      <c r="DJ27">
        <v>479161</v>
      </c>
      <c r="DK27">
        <v>46296</v>
      </c>
      <c r="DM27" t="s">
        <v>761</v>
      </c>
      <c r="DO27" t="s">
        <v>762</v>
      </c>
      <c r="DP27" t="s">
        <v>763</v>
      </c>
      <c r="DQ27" t="s">
        <v>81</v>
      </c>
      <c r="DV27">
        <v>27091</v>
      </c>
      <c r="DW27">
        <v>52</v>
      </c>
      <c r="DX27">
        <v>1</v>
      </c>
      <c r="DY27">
        <v>19</v>
      </c>
      <c r="DZ27">
        <v>1</v>
      </c>
      <c r="EA27" t="s">
        <v>431</v>
      </c>
      <c r="EB27" t="s">
        <v>741</v>
      </c>
      <c r="EC27">
        <v>82000</v>
      </c>
      <c r="EG27">
        <v>0</v>
      </c>
      <c r="EH27">
        <v>0</v>
      </c>
      <c r="EI27">
        <v>0</v>
      </c>
      <c r="EJ27">
        <v>0</v>
      </c>
      <c r="EK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U27">
        <v>0</v>
      </c>
      <c r="EW27" t="s">
        <v>465</v>
      </c>
      <c r="EX27" t="s">
        <v>448</v>
      </c>
      <c r="EY27">
        <v>0</v>
      </c>
      <c r="EZ27">
        <v>0</v>
      </c>
      <c r="FA27">
        <v>0</v>
      </c>
      <c r="FB27">
        <v>0</v>
      </c>
      <c r="FC27">
        <v>8200000</v>
      </c>
      <c r="FF27" t="s">
        <v>764</v>
      </c>
      <c r="FG27">
        <v>46296</v>
      </c>
      <c r="FH27">
        <v>46301</v>
      </c>
    </row>
    <row r="28" spans="1:164" x14ac:dyDescent="0.3">
      <c r="A28" t="s">
        <v>350</v>
      </c>
      <c r="B28" t="s">
        <v>350</v>
      </c>
      <c r="C28">
        <v>12</v>
      </c>
      <c r="D28">
        <v>12</v>
      </c>
      <c r="E28">
        <v>46294</v>
      </c>
      <c r="F28">
        <v>1000000</v>
      </c>
      <c r="G28">
        <v>1000000</v>
      </c>
      <c r="H28" t="s">
        <v>324</v>
      </c>
      <c r="I28">
        <v>1000000</v>
      </c>
      <c r="J28" t="s">
        <v>468</v>
      </c>
      <c r="K28">
        <v>46299</v>
      </c>
      <c r="L28">
        <v>46299.475324074076</v>
      </c>
      <c r="M28">
        <v>46665</v>
      </c>
      <c r="N28" t="s">
        <v>410</v>
      </c>
      <c r="O28" t="s">
        <v>89</v>
      </c>
      <c r="P28" t="s">
        <v>765</v>
      </c>
      <c r="R28" t="s">
        <v>366</v>
      </c>
      <c r="S28" t="s">
        <v>367</v>
      </c>
      <c r="T28" t="s">
        <v>576</v>
      </c>
      <c r="U28" t="s">
        <v>577</v>
      </c>
      <c r="V28" t="s">
        <v>414</v>
      </c>
      <c r="W28" t="s">
        <v>371</v>
      </c>
      <c r="X28">
        <v>537</v>
      </c>
      <c r="Y28" t="s">
        <v>564</v>
      </c>
      <c r="AA28" t="s">
        <v>565</v>
      </c>
      <c r="AB28" t="s">
        <v>471</v>
      </c>
      <c r="AC28">
        <v>1</v>
      </c>
      <c r="AD28" t="s">
        <v>497</v>
      </c>
      <c r="AE28" t="s">
        <v>548</v>
      </c>
      <c r="AF28" t="s">
        <v>421</v>
      </c>
      <c r="AG28" t="s">
        <v>766</v>
      </c>
      <c r="AH28" t="s">
        <v>766</v>
      </c>
      <c r="AK28">
        <v>0</v>
      </c>
      <c r="AL28" t="s">
        <v>377</v>
      </c>
      <c r="AM28">
        <v>9</v>
      </c>
      <c r="AN28">
        <v>9</v>
      </c>
      <c r="AQ28" t="s">
        <v>378</v>
      </c>
      <c r="AR28" t="s">
        <v>378</v>
      </c>
      <c r="AS28" t="s">
        <v>423</v>
      </c>
      <c r="AT28" t="s">
        <v>380</v>
      </c>
      <c r="AU28" t="s">
        <v>381</v>
      </c>
      <c r="AV28" t="s">
        <v>767</v>
      </c>
      <c r="AW28" t="s">
        <v>768</v>
      </c>
      <c r="AX28">
        <v>2</v>
      </c>
      <c r="AY28">
        <v>0</v>
      </c>
      <c r="AZ28">
        <v>2</v>
      </c>
      <c r="BA28">
        <v>218700</v>
      </c>
      <c r="BB28" t="s">
        <v>384</v>
      </c>
      <c r="BD28" t="s">
        <v>427</v>
      </c>
      <c r="BE28" t="s">
        <v>427</v>
      </c>
      <c r="BF28">
        <v>45623</v>
      </c>
      <c r="BG28">
        <v>1000000</v>
      </c>
      <c r="BH28">
        <v>0</v>
      </c>
      <c r="BI28">
        <v>1000000</v>
      </c>
      <c r="BL28">
        <v>903040</v>
      </c>
      <c r="BM28" t="s">
        <v>552</v>
      </c>
      <c r="BN28" t="s">
        <v>429</v>
      </c>
      <c r="BO28" t="s">
        <v>569</v>
      </c>
      <c r="BP28">
        <v>10001</v>
      </c>
      <c r="BQ28">
        <v>8111</v>
      </c>
      <c r="BR28" t="s">
        <v>389</v>
      </c>
      <c r="BS28" t="s">
        <v>389</v>
      </c>
      <c r="BT28" t="s">
        <v>389</v>
      </c>
      <c r="BU28" t="s">
        <v>553</v>
      </c>
      <c r="BV28">
        <v>1012</v>
      </c>
      <c r="BW28" t="s">
        <v>433</v>
      </c>
      <c r="BX28" t="s">
        <v>392</v>
      </c>
      <c r="BY28">
        <v>46370</v>
      </c>
      <c r="BZ28" t="s">
        <v>503</v>
      </c>
      <c r="CA28">
        <v>46370</v>
      </c>
      <c r="CB28">
        <v>14</v>
      </c>
      <c r="CC28" t="s">
        <v>394</v>
      </c>
      <c r="CD28">
        <v>1001</v>
      </c>
      <c r="CE28" t="s">
        <v>434</v>
      </c>
      <c r="CF28" t="s">
        <v>478</v>
      </c>
      <c r="CG28">
        <v>21080</v>
      </c>
      <c r="CH28" t="s">
        <v>479</v>
      </c>
      <c r="CI28" t="s">
        <v>480</v>
      </c>
      <c r="CJ28" t="s">
        <v>478</v>
      </c>
      <c r="CK28" t="s">
        <v>435</v>
      </c>
      <c r="CL28">
        <v>21081</v>
      </c>
      <c r="CM28">
        <v>1001</v>
      </c>
      <c r="CN28" t="s">
        <v>400</v>
      </c>
      <c r="CO28" t="s">
        <v>552</v>
      </c>
      <c r="CP28" t="s">
        <v>401</v>
      </c>
      <c r="CQ28" t="s">
        <v>402</v>
      </c>
      <c r="CR28" t="s">
        <v>403</v>
      </c>
      <c r="CS28" t="s">
        <v>570</v>
      </c>
      <c r="CW28">
        <v>0</v>
      </c>
      <c r="CX28">
        <v>0</v>
      </c>
      <c r="CY28">
        <v>0</v>
      </c>
      <c r="CZ28" t="s">
        <v>404</v>
      </c>
      <c r="DA28" t="s">
        <v>471</v>
      </c>
      <c r="DD28" t="s">
        <v>409</v>
      </c>
      <c r="DG28" t="s">
        <v>441</v>
      </c>
      <c r="DH28" t="s">
        <v>441</v>
      </c>
      <c r="DI28" t="s">
        <v>441</v>
      </c>
      <c r="DJ28">
        <v>479216</v>
      </c>
      <c r="DK28">
        <v>46299</v>
      </c>
      <c r="DM28" t="s">
        <v>769</v>
      </c>
      <c r="DO28" t="s">
        <v>770</v>
      </c>
      <c r="DP28" t="s">
        <v>408</v>
      </c>
      <c r="DQ28" t="s">
        <v>409</v>
      </c>
      <c r="DV28">
        <v>32435</v>
      </c>
      <c r="DW28">
        <v>38</v>
      </c>
      <c r="DX28">
        <v>1</v>
      </c>
      <c r="DY28">
        <v>54</v>
      </c>
      <c r="DZ28">
        <v>1</v>
      </c>
      <c r="EA28" t="s">
        <v>389</v>
      </c>
      <c r="EB28" t="s">
        <v>389</v>
      </c>
      <c r="EC28">
        <v>10000</v>
      </c>
      <c r="EG28">
        <v>0</v>
      </c>
      <c r="EH28">
        <v>0</v>
      </c>
      <c r="EI28">
        <v>0</v>
      </c>
      <c r="EJ28">
        <v>0</v>
      </c>
      <c r="EK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U28">
        <v>0</v>
      </c>
      <c r="EW28" t="s">
        <v>393</v>
      </c>
      <c r="EX28" t="s">
        <v>487</v>
      </c>
      <c r="EY28">
        <v>3162.5</v>
      </c>
      <c r="EZ28">
        <v>3162.5</v>
      </c>
      <c r="FA28">
        <v>0</v>
      </c>
      <c r="FB28">
        <v>0</v>
      </c>
      <c r="FC28">
        <v>1000000</v>
      </c>
      <c r="FD28" t="s">
        <v>771</v>
      </c>
      <c r="FF28" t="s">
        <v>772</v>
      </c>
      <c r="FG28">
        <v>46296</v>
      </c>
      <c r="FH28">
        <v>46301</v>
      </c>
    </row>
    <row r="29" spans="1:164" x14ac:dyDescent="0.3">
      <c r="A29" t="s">
        <v>351</v>
      </c>
      <c r="B29" t="s">
        <v>351</v>
      </c>
      <c r="C29">
        <v>24</v>
      </c>
      <c r="D29">
        <v>24</v>
      </c>
      <c r="E29">
        <v>46274</v>
      </c>
      <c r="F29">
        <v>5500000</v>
      </c>
      <c r="G29">
        <v>5500000</v>
      </c>
      <c r="H29" t="s">
        <v>324</v>
      </c>
      <c r="I29">
        <v>5500000</v>
      </c>
      <c r="J29" t="s">
        <v>468</v>
      </c>
      <c r="K29">
        <v>46301</v>
      </c>
      <c r="L29">
        <v>46301.586574074077</v>
      </c>
      <c r="M29">
        <v>47031</v>
      </c>
      <c r="N29" t="s">
        <v>410</v>
      </c>
      <c r="O29" t="s">
        <v>73</v>
      </c>
      <c r="P29" t="s">
        <v>754</v>
      </c>
      <c r="R29" t="s">
        <v>366</v>
      </c>
      <c r="S29" t="s">
        <v>367</v>
      </c>
      <c r="T29" t="s">
        <v>490</v>
      </c>
      <c r="U29" t="s">
        <v>491</v>
      </c>
      <c r="V29" t="s">
        <v>414</v>
      </c>
      <c r="W29" t="s">
        <v>371</v>
      </c>
      <c r="X29">
        <v>124</v>
      </c>
      <c r="Y29" t="s">
        <v>773</v>
      </c>
      <c r="Z29" t="s">
        <v>453</v>
      </c>
      <c r="AA29" t="s">
        <v>454</v>
      </c>
      <c r="AB29" t="s">
        <v>496</v>
      </c>
      <c r="AE29" t="s">
        <v>548</v>
      </c>
      <c r="AF29" t="s">
        <v>421</v>
      </c>
      <c r="AG29" t="s">
        <v>774</v>
      </c>
      <c r="AH29" t="s">
        <v>774</v>
      </c>
      <c r="AK29">
        <v>0</v>
      </c>
      <c r="AL29" t="s">
        <v>377</v>
      </c>
      <c r="AM29">
        <v>5</v>
      </c>
      <c r="AN29">
        <v>5</v>
      </c>
      <c r="AP29" t="s">
        <v>499</v>
      </c>
      <c r="AQ29" t="s">
        <v>378</v>
      </c>
      <c r="AR29" t="s">
        <v>378</v>
      </c>
      <c r="AS29" t="s">
        <v>423</v>
      </c>
      <c r="AT29" t="s">
        <v>380</v>
      </c>
      <c r="AU29" t="s">
        <v>381</v>
      </c>
      <c r="AV29" t="s">
        <v>775</v>
      </c>
      <c r="AW29" t="s">
        <v>776</v>
      </c>
      <c r="AX29">
        <v>6</v>
      </c>
      <c r="AY29">
        <v>0</v>
      </c>
      <c r="AZ29">
        <v>6</v>
      </c>
      <c r="BA29">
        <v>526500</v>
      </c>
      <c r="BB29" t="s">
        <v>384</v>
      </c>
      <c r="BC29" t="s">
        <v>385</v>
      </c>
      <c r="BD29" t="s">
        <v>427</v>
      </c>
      <c r="BE29" t="s">
        <v>427</v>
      </c>
      <c r="BF29">
        <v>45985</v>
      </c>
      <c r="BG29">
        <v>5500000</v>
      </c>
      <c r="BH29">
        <v>0</v>
      </c>
      <c r="BI29">
        <v>5500000</v>
      </c>
      <c r="BL29">
        <v>903040</v>
      </c>
      <c r="BM29" t="s">
        <v>552</v>
      </c>
      <c r="BO29" t="s">
        <v>569</v>
      </c>
      <c r="BP29">
        <v>10001</v>
      </c>
      <c r="BQ29">
        <v>8111</v>
      </c>
      <c r="BR29" t="s">
        <v>389</v>
      </c>
      <c r="BS29" t="s">
        <v>389</v>
      </c>
      <c r="BT29" t="s">
        <v>389</v>
      </c>
      <c r="BU29" t="s">
        <v>553</v>
      </c>
      <c r="BV29">
        <v>1012</v>
      </c>
      <c r="BW29" t="s">
        <v>433</v>
      </c>
      <c r="BX29" t="s">
        <v>392</v>
      </c>
      <c r="BY29">
        <v>46370</v>
      </c>
      <c r="BZ29" t="s">
        <v>393</v>
      </c>
      <c r="CA29">
        <v>46370</v>
      </c>
      <c r="CB29">
        <v>14</v>
      </c>
      <c r="CC29" t="s">
        <v>504</v>
      </c>
      <c r="CD29">
        <v>1002</v>
      </c>
      <c r="CE29" t="s">
        <v>505</v>
      </c>
      <c r="CF29" t="s">
        <v>395</v>
      </c>
      <c r="CG29">
        <v>21006</v>
      </c>
      <c r="CH29" t="s">
        <v>396</v>
      </c>
      <c r="CI29" t="s">
        <v>397</v>
      </c>
      <c r="CJ29" t="s">
        <v>398</v>
      </c>
      <c r="CK29" t="s">
        <v>399</v>
      </c>
      <c r="CL29">
        <v>21027</v>
      </c>
      <c r="CM29">
        <v>1001</v>
      </c>
      <c r="CN29" t="s">
        <v>400</v>
      </c>
      <c r="CO29" t="s">
        <v>552</v>
      </c>
      <c r="CP29" t="s">
        <v>401</v>
      </c>
      <c r="CQ29" t="s">
        <v>402</v>
      </c>
      <c r="CR29" t="s">
        <v>403</v>
      </c>
      <c r="CS29" t="s">
        <v>777</v>
      </c>
      <c r="CW29">
        <v>0</v>
      </c>
      <c r="CX29">
        <v>0</v>
      </c>
      <c r="CY29">
        <v>0</v>
      </c>
      <c r="CZ29" t="s">
        <v>404</v>
      </c>
      <c r="DA29" t="s">
        <v>405</v>
      </c>
      <c r="DD29" t="s">
        <v>778</v>
      </c>
      <c r="DG29" t="s">
        <v>441</v>
      </c>
      <c r="DH29" t="s">
        <v>441</v>
      </c>
      <c r="DI29" t="s">
        <v>441</v>
      </c>
      <c r="DJ29">
        <v>479471</v>
      </c>
      <c r="DK29">
        <v>46301</v>
      </c>
      <c r="DM29" t="s">
        <v>779</v>
      </c>
      <c r="DO29" t="s">
        <v>780</v>
      </c>
      <c r="DP29" t="s">
        <v>763</v>
      </c>
      <c r="DQ29" t="s">
        <v>81</v>
      </c>
      <c r="DV29">
        <v>35475</v>
      </c>
      <c r="DW29">
        <v>29</v>
      </c>
      <c r="DX29">
        <v>1</v>
      </c>
      <c r="DY29">
        <v>29</v>
      </c>
      <c r="DZ29">
        <v>1</v>
      </c>
      <c r="EC29">
        <v>55000</v>
      </c>
      <c r="EG29">
        <v>0</v>
      </c>
      <c r="EH29">
        <v>0</v>
      </c>
      <c r="EI29">
        <v>0</v>
      </c>
      <c r="EJ29">
        <v>0</v>
      </c>
      <c r="EK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550000</v>
      </c>
      <c r="ES29">
        <v>0</v>
      </c>
      <c r="EU29">
        <v>550000</v>
      </c>
      <c r="EW29" t="s">
        <v>393</v>
      </c>
      <c r="EX29" t="s">
        <v>487</v>
      </c>
      <c r="EY29">
        <v>10466.5</v>
      </c>
      <c r="EZ29">
        <v>10466.5</v>
      </c>
      <c r="FA29">
        <v>0</v>
      </c>
      <c r="FB29">
        <v>0</v>
      </c>
      <c r="FC29">
        <v>5500000</v>
      </c>
      <c r="FD29" t="s">
        <v>781</v>
      </c>
      <c r="FF29" t="s">
        <v>782</v>
      </c>
      <c r="FG29">
        <v>46296</v>
      </c>
      <c r="FH29">
        <v>46301</v>
      </c>
    </row>
    <row r="30" spans="1:164" x14ac:dyDescent="0.3">
      <c r="A30" t="s">
        <v>352</v>
      </c>
      <c r="B30" t="s">
        <v>352</v>
      </c>
      <c r="C30">
        <v>36</v>
      </c>
      <c r="D30">
        <v>36</v>
      </c>
      <c r="E30">
        <v>46289</v>
      </c>
      <c r="F30">
        <v>10000000</v>
      </c>
      <c r="G30">
        <v>10000000</v>
      </c>
      <c r="H30" t="s">
        <v>324</v>
      </c>
      <c r="I30">
        <v>9883237</v>
      </c>
      <c r="J30" t="s">
        <v>468</v>
      </c>
      <c r="K30">
        <v>46299</v>
      </c>
      <c r="L30">
        <v>46299.7577662037</v>
      </c>
      <c r="M30">
        <v>47396</v>
      </c>
      <c r="N30" t="s">
        <v>410</v>
      </c>
      <c r="O30" t="s">
        <v>21</v>
      </c>
      <c r="P30" t="s">
        <v>630</v>
      </c>
      <c r="R30" t="s">
        <v>366</v>
      </c>
      <c r="S30" t="s">
        <v>367</v>
      </c>
      <c r="T30" t="s">
        <v>412</v>
      </c>
      <c r="U30" t="s">
        <v>413</v>
      </c>
      <c r="V30" t="s">
        <v>492</v>
      </c>
      <c r="W30" t="s">
        <v>371</v>
      </c>
      <c r="X30">
        <v>523</v>
      </c>
      <c r="Y30" t="s">
        <v>783</v>
      </c>
      <c r="Z30" t="s">
        <v>784</v>
      </c>
      <c r="AA30" t="s">
        <v>785</v>
      </c>
      <c r="AB30" t="s">
        <v>496</v>
      </c>
      <c r="AC30">
        <v>1</v>
      </c>
      <c r="AD30" t="s">
        <v>497</v>
      </c>
      <c r="AE30" t="s">
        <v>548</v>
      </c>
      <c r="AF30" t="s">
        <v>421</v>
      </c>
      <c r="AG30" t="s">
        <v>786</v>
      </c>
      <c r="AH30" t="s">
        <v>786</v>
      </c>
      <c r="AK30">
        <v>0</v>
      </c>
      <c r="AL30" t="s">
        <v>377</v>
      </c>
      <c r="AM30">
        <v>15.49</v>
      </c>
      <c r="AN30">
        <v>15.49</v>
      </c>
      <c r="AQ30" t="s">
        <v>378</v>
      </c>
      <c r="AR30" t="s">
        <v>378</v>
      </c>
      <c r="AS30" t="s">
        <v>423</v>
      </c>
      <c r="AT30" t="s">
        <v>380</v>
      </c>
      <c r="AU30" t="s">
        <v>381</v>
      </c>
      <c r="AV30" t="s">
        <v>787</v>
      </c>
      <c r="AW30" t="s">
        <v>788</v>
      </c>
      <c r="AX30">
        <v>12</v>
      </c>
      <c r="AY30">
        <v>0</v>
      </c>
      <c r="AZ30">
        <v>12</v>
      </c>
      <c r="BA30">
        <v>6075000</v>
      </c>
      <c r="BB30" t="s">
        <v>384</v>
      </c>
      <c r="BD30" t="s">
        <v>427</v>
      </c>
      <c r="BE30" t="s">
        <v>427</v>
      </c>
      <c r="BF30">
        <v>45181</v>
      </c>
      <c r="BG30">
        <v>10000000</v>
      </c>
      <c r="BH30">
        <v>0</v>
      </c>
      <c r="BI30">
        <v>10000000</v>
      </c>
      <c r="BL30">
        <v>903040</v>
      </c>
      <c r="BM30" t="s">
        <v>552</v>
      </c>
      <c r="BN30" t="s">
        <v>429</v>
      </c>
      <c r="BO30" t="s">
        <v>502</v>
      </c>
      <c r="BP30">
        <v>1</v>
      </c>
      <c r="BQ30">
        <v>8111</v>
      </c>
      <c r="BR30" t="s">
        <v>389</v>
      </c>
      <c r="BS30" t="s">
        <v>389</v>
      </c>
      <c r="BT30" t="s">
        <v>389</v>
      </c>
      <c r="BU30" t="s">
        <v>553</v>
      </c>
      <c r="BV30">
        <v>1012</v>
      </c>
      <c r="BW30" t="s">
        <v>433</v>
      </c>
      <c r="BX30" t="s">
        <v>392</v>
      </c>
      <c r="BY30">
        <v>46370</v>
      </c>
      <c r="BZ30" t="s">
        <v>503</v>
      </c>
      <c r="CA30">
        <v>46370</v>
      </c>
      <c r="CB30">
        <v>14</v>
      </c>
      <c r="CC30" t="s">
        <v>394</v>
      </c>
      <c r="CD30">
        <v>1001</v>
      </c>
      <c r="CE30" t="s">
        <v>434</v>
      </c>
      <c r="CF30" t="s">
        <v>395</v>
      </c>
      <c r="CG30">
        <v>21006</v>
      </c>
      <c r="CH30" t="s">
        <v>396</v>
      </c>
      <c r="CI30" t="s">
        <v>397</v>
      </c>
      <c r="CJ30" t="s">
        <v>398</v>
      </c>
      <c r="CK30" t="s">
        <v>435</v>
      </c>
      <c r="CL30">
        <v>21025</v>
      </c>
      <c r="CM30">
        <v>1001</v>
      </c>
      <c r="CN30" t="s">
        <v>400</v>
      </c>
      <c r="CO30" t="s">
        <v>552</v>
      </c>
      <c r="CP30" t="s">
        <v>401</v>
      </c>
      <c r="CQ30" t="s">
        <v>402</v>
      </c>
      <c r="CR30" t="s">
        <v>403</v>
      </c>
      <c r="CS30" t="s">
        <v>441</v>
      </c>
      <c r="CW30">
        <v>0</v>
      </c>
      <c r="CX30">
        <v>0</v>
      </c>
      <c r="CY30">
        <v>0</v>
      </c>
      <c r="CZ30" t="s">
        <v>404</v>
      </c>
      <c r="DA30" t="s">
        <v>405</v>
      </c>
      <c r="DD30" t="s">
        <v>21</v>
      </c>
      <c r="DG30" t="s">
        <v>441</v>
      </c>
      <c r="DH30" t="s">
        <v>441</v>
      </c>
      <c r="DI30" t="s">
        <v>441</v>
      </c>
      <c r="DJ30">
        <v>479303</v>
      </c>
      <c r="DK30">
        <v>46299</v>
      </c>
      <c r="DM30" t="s">
        <v>789</v>
      </c>
      <c r="DO30" t="s">
        <v>790</v>
      </c>
      <c r="DP30" t="s">
        <v>642</v>
      </c>
      <c r="DQ30" t="s">
        <v>121</v>
      </c>
      <c r="DV30">
        <v>31088</v>
      </c>
      <c r="DW30">
        <v>41</v>
      </c>
      <c r="DX30">
        <v>1</v>
      </c>
      <c r="DY30">
        <v>15</v>
      </c>
      <c r="DZ30">
        <v>1</v>
      </c>
      <c r="EA30" t="s">
        <v>389</v>
      </c>
      <c r="EB30" t="s">
        <v>389</v>
      </c>
      <c r="EC30">
        <v>75000</v>
      </c>
      <c r="EG30">
        <v>0</v>
      </c>
      <c r="EH30">
        <v>0</v>
      </c>
      <c r="EI30">
        <v>0</v>
      </c>
      <c r="EJ30">
        <v>1000000</v>
      </c>
      <c r="EK30">
        <v>0</v>
      </c>
      <c r="EL30" t="s">
        <v>791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 t="s">
        <v>560</v>
      </c>
      <c r="EU30">
        <v>1000000</v>
      </c>
      <c r="EW30" t="s">
        <v>393</v>
      </c>
      <c r="EX30" t="s">
        <v>487</v>
      </c>
      <c r="EY30">
        <v>21560</v>
      </c>
      <c r="EZ30">
        <v>21560</v>
      </c>
      <c r="FA30">
        <v>116763</v>
      </c>
      <c r="FB30">
        <v>0</v>
      </c>
      <c r="FC30">
        <v>10000000</v>
      </c>
      <c r="FD30" t="s">
        <v>792</v>
      </c>
      <c r="FF30" t="s">
        <v>793</v>
      </c>
      <c r="FG30">
        <v>46296</v>
      </c>
      <c r="FH30">
        <v>46301</v>
      </c>
    </row>
    <row r="31" spans="1:164" x14ac:dyDescent="0.3">
      <c r="A31" t="s">
        <v>353</v>
      </c>
      <c r="B31" t="s">
        <v>353</v>
      </c>
      <c r="C31">
        <v>24</v>
      </c>
      <c r="D31">
        <v>24</v>
      </c>
      <c r="E31">
        <v>46293</v>
      </c>
      <c r="F31">
        <v>2500000</v>
      </c>
      <c r="G31">
        <v>2500000</v>
      </c>
      <c r="H31" t="s">
        <v>324</v>
      </c>
      <c r="I31">
        <v>2331873.25</v>
      </c>
      <c r="J31" t="s">
        <v>468</v>
      </c>
      <c r="K31">
        <v>46296</v>
      </c>
      <c r="L31">
        <v>46296.514525462961</v>
      </c>
      <c r="M31">
        <v>47031</v>
      </c>
      <c r="N31" t="s">
        <v>410</v>
      </c>
      <c r="O31" t="s">
        <v>49</v>
      </c>
      <c r="P31" t="s">
        <v>469</v>
      </c>
      <c r="R31" t="s">
        <v>366</v>
      </c>
      <c r="S31" t="s">
        <v>367</v>
      </c>
      <c r="T31" t="s">
        <v>576</v>
      </c>
      <c r="U31" t="s">
        <v>577</v>
      </c>
      <c r="V31" t="s">
        <v>631</v>
      </c>
      <c r="W31" t="s">
        <v>415</v>
      </c>
      <c r="X31">
        <v>103</v>
      </c>
      <c r="Y31" t="s">
        <v>794</v>
      </c>
      <c r="Z31" t="s">
        <v>795</v>
      </c>
      <c r="AA31" t="s">
        <v>796</v>
      </c>
      <c r="AB31" t="s">
        <v>496</v>
      </c>
      <c r="AC31">
        <v>12</v>
      </c>
      <c r="AD31" t="s">
        <v>797</v>
      </c>
      <c r="AE31" t="s">
        <v>516</v>
      </c>
      <c r="AF31" t="s">
        <v>421</v>
      </c>
      <c r="AG31" t="s">
        <v>798</v>
      </c>
      <c r="AH31" t="s">
        <v>798</v>
      </c>
      <c r="AK31">
        <v>0</v>
      </c>
      <c r="AL31" t="s">
        <v>377</v>
      </c>
      <c r="AM31">
        <v>17</v>
      </c>
      <c r="AN31">
        <v>17</v>
      </c>
      <c r="AQ31" t="s">
        <v>378</v>
      </c>
      <c r="AR31" t="s">
        <v>378</v>
      </c>
      <c r="AS31" t="s">
        <v>423</v>
      </c>
      <c r="AT31" t="s">
        <v>380</v>
      </c>
      <c r="AU31" t="s">
        <v>381</v>
      </c>
      <c r="AV31" t="s">
        <v>799</v>
      </c>
      <c r="AW31" t="s">
        <v>800</v>
      </c>
      <c r="AX31">
        <v>10</v>
      </c>
      <c r="AY31">
        <v>0</v>
      </c>
      <c r="AZ31">
        <v>10</v>
      </c>
      <c r="BA31">
        <v>3150000</v>
      </c>
      <c r="BB31" t="s">
        <v>384</v>
      </c>
      <c r="BD31" t="s">
        <v>427</v>
      </c>
      <c r="BE31" t="s">
        <v>427</v>
      </c>
      <c r="BF31">
        <v>45928.762499999997</v>
      </c>
      <c r="BG31">
        <v>2500000</v>
      </c>
      <c r="BH31">
        <v>0</v>
      </c>
      <c r="BI31">
        <v>2500000</v>
      </c>
      <c r="BL31">
        <v>902137</v>
      </c>
      <c r="BM31" t="s">
        <v>801</v>
      </c>
      <c r="BN31" t="s">
        <v>429</v>
      </c>
      <c r="BO31" t="s">
        <v>635</v>
      </c>
      <c r="BP31">
        <v>10015</v>
      </c>
      <c r="BQ31">
        <v>2090</v>
      </c>
      <c r="BR31" t="s">
        <v>431</v>
      </c>
      <c r="BS31" t="s">
        <v>431</v>
      </c>
      <c r="BT31" t="s">
        <v>431</v>
      </c>
      <c r="BU31" t="s">
        <v>432</v>
      </c>
      <c r="BV31">
        <v>1012</v>
      </c>
      <c r="BW31" t="s">
        <v>433</v>
      </c>
      <c r="BX31" t="s">
        <v>392</v>
      </c>
      <c r="BY31">
        <v>46370</v>
      </c>
      <c r="BZ31" t="s">
        <v>431</v>
      </c>
      <c r="CA31">
        <v>46370</v>
      </c>
      <c r="CB31">
        <v>14</v>
      </c>
      <c r="CC31" t="s">
        <v>394</v>
      </c>
      <c r="CD31">
        <v>1001</v>
      </c>
      <c r="CE31" t="s">
        <v>434</v>
      </c>
      <c r="CF31" t="s">
        <v>395</v>
      </c>
      <c r="CG31">
        <v>21006</v>
      </c>
      <c r="CH31" t="s">
        <v>396</v>
      </c>
      <c r="CI31" t="s">
        <v>397</v>
      </c>
      <c r="CJ31" t="s">
        <v>398</v>
      </c>
      <c r="CK31" t="s">
        <v>435</v>
      </c>
      <c r="CL31">
        <v>21025</v>
      </c>
      <c r="CM31">
        <v>1001</v>
      </c>
      <c r="CN31" t="s">
        <v>400</v>
      </c>
      <c r="CO31" t="s">
        <v>522</v>
      </c>
      <c r="CP31" t="s">
        <v>437</v>
      </c>
      <c r="CQ31" t="s">
        <v>402</v>
      </c>
      <c r="CR31" t="s">
        <v>403</v>
      </c>
      <c r="CS31" t="s">
        <v>441</v>
      </c>
      <c r="CW31">
        <v>0</v>
      </c>
      <c r="CX31">
        <v>0</v>
      </c>
      <c r="CY31">
        <v>0</v>
      </c>
      <c r="CZ31" t="s">
        <v>439</v>
      </c>
      <c r="DA31" t="s">
        <v>405</v>
      </c>
      <c r="DB31" t="s">
        <v>636</v>
      </c>
      <c r="DD31" t="s">
        <v>482</v>
      </c>
      <c r="DG31" t="s">
        <v>441</v>
      </c>
      <c r="DH31" t="s">
        <v>441</v>
      </c>
      <c r="DI31" t="s">
        <v>441</v>
      </c>
      <c r="DJ31">
        <v>479096</v>
      </c>
      <c r="DK31">
        <v>46296</v>
      </c>
      <c r="DM31" t="s">
        <v>802</v>
      </c>
      <c r="DO31" t="s">
        <v>803</v>
      </c>
      <c r="DP31" t="s">
        <v>485</v>
      </c>
      <c r="DQ31" t="s">
        <v>409</v>
      </c>
      <c r="DV31">
        <v>22690</v>
      </c>
      <c r="DW31">
        <v>64</v>
      </c>
      <c r="DX31">
        <v>1</v>
      </c>
      <c r="DY31">
        <v>43</v>
      </c>
      <c r="DZ31">
        <v>1</v>
      </c>
      <c r="EA31" t="s">
        <v>431</v>
      </c>
      <c r="EB31" t="s">
        <v>454</v>
      </c>
      <c r="EC31">
        <v>25000</v>
      </c>
      <c r="EG31">
        <v>123606</v>
      </c>
      <c r="EH31">
        <v>0</v>
      </c>
      <c r="EI31">
        <v>0</v>
      </c>
      <c r="EJ31">
        <v>0</v>
      </c>
      <c r="EK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U31">
        <v>0</v>
      </c>
      <c r="EW31" t="s">
        <v>465</v>
      </c>
      <c r="EX31" t="s">
        <v>487</v>
      </c>
      <c r="EY31">
        <v>7906.25</v>
      </c>
      <c r="EZ31">
        <v>7906.25</v>
      </c>
      <c r="FA31">
        <v>167826.75</v>
      </c>
      <c r="FB31">
        <v>0</v>
      </c>
      <c r="FC31">
        <v>2499700</v>
      </c>
      <c r="FD31" t="s">
        <v>804</v>
      </c>
      <c r="FF31" t="s">
        <v>805</v>
      </c>
      <c r="FG31">
        <v>46296</v>
      </c>
      <c r="FH31">
        <v>46301</v>
      </c>
    </row>
    <row r="32" spans="1:164" x14ac:dyDescent="0.3">
      <c r="A32" t="s">
        <v>354</v>
      </c>
      <c r="B32" t="s">
        <v>354</v>
      </c>
      <c r="C32">
        <v>12</v>
      </c>
      <c r="D32">
        <v>12</v>
      </c>
      <c r="E32">
        <v>46295</v>
      </c>
      <c r="F32">
        <v>2000000</v>
      </c>
      <c r="G32">
        <v>2000000</v>
      </c>
      <c r="H32" t="s">
        <v>324</v>
      </c>
      <c r="I32">
        <v>2000000</v>
      </c>
      <c r="J32" t="s">
        <v>468</v>
      </c>
      <c r="K32">
        <v>46300</v>
      </c>
      <c r="L32">
        <v>46300.495347222219</v>
      </c>
      <c r="M32">
        <v>46665</v>
      </c>
      <c r="N32" t="s">
        <v>410</v>
      </c>
      <c r="O32" t="s">
        <v>21</v>
      </c>
      <c r="P32" t="s">
        <v>630</v>
      </c>
      <c r="Q32" t="s">
        <v>101</v>
      </c>
      <c r="R32" t="s">
        <v>366</v>
      </c>
      <c r="S32" t="s">
        <v>367</v>
      </c>
      <c r="T32" t="s">
        <v>576</v>
      </c>
      <c r="U32" t="s">
        <v>577</v>
      </c>
      <c r="V32" t="s">
        <v>414</v>
      </c>
      <c r="W32" t="s">
        <v>371</v>
      </c>
      <c r="X32">
        <v>167</v>
      </c>
      <c r="Y32" t="s">
        <v>806</v>
      </c>
      <c r="Z32" t="s">
        <v>728</v>
      </c>
      <c r="AA32" t="s">
        <v>729</v>
      </c>
      <c r="AB32" t="s">
        <v>471</v>
      </c>
      <c r="AC32">
        <v>1</v>
      </c>
      <c r="AD32" t="s">
        <v>497</v>
      </c>
      <c r="AE32" t="s">
        <v>548</v>
      </c>
      <c r="AF32" t="s">
        <v>421</v>
      </c>
      <c r="AG32" t="s">
        <v>807</v>
      </c>
      <c r="AH32" t="s">
        <v>807</v>
      </c>
      <c r="AK32">
        <v>0</v>
      </c>
      <c r="AL32" t="s">
        <v>377</v>
      </c>
      <c r="AM32">
        <v>9</v>
      </c>
      <c r="AN32">
        <v>9</v>
      </c>
      <c r="AQ32" t="s">
        <v>378</v>
      </c>
      <c r="AR32" t="s">
        <v>378</v>
      </c>
      <c r="AS32" t="s">
        <v>423</v>
      </c>
      <c r="AT32" t="s">
        <v>380</v>
      </c>
      <c r="AU32" t="s">
        <v>474</v>
      </c>
      <c r="AV32" t="s">
        <v>808</v>
      </c>
      <c r="AW32" t="s">
        <v>809</v>
      </c>
      <c r="AX32">
        <v>3</v>
      </c>
      <c r="AY32">
        <v>0</v>
      </c>
      <c r="AZ32">
        <v>3</v>
      </c>
      <c r="BA32">
        <v>98415</v>
      </c>
      <c r="BB32" t="s">
        <v>384</v>
      </c>
      <c r="BD32" t="s">
        <v>427</v>
      </c>
      <c r="BE32" t="s">
        <v>386</v>
      </c>
      <c r="BF32">
        <v>46295</v>
      </c>
      <c r="BG32">
        <v>2000000</v>
      </c>
      <c r="BH32">
        <v>0</v>
      </c>
      <c r="BI32">
        <v>2000000</v>
      </c>
      <c r="BL32">
        <v>903040</v>
      </c>
      <c r="BM32" t="s">
        <v>552</v>
      </c>
      <c r="BN32" t="s">
        <v>429</v>
      </c>
      <c r="BO32" t="s">
        <v>569</v>
      </c>
      <c r="BP32">
        <v>10001</v>
      </c>
      <c r="BQ32">
        <v>8111</v>
      </c>
      <c r="BR32" t="s">
        <v>389</v>
      </c>
      <c r="BS32" t="s">
        <v>389</v>
      </c>
      <c r="BT32" t="s">
        <v>389</v>
      </c>
      <c r="BU32" t="s">
        <v>553</v>
      </c>
      <c r="BV32">
        <v>1012</v>
      </c>
      <c r="BW32" t="s">
        <v>433</v>
      </c>
      <c r="BX32" t="s">
        <v>392</v>
      </c>
      <c r="BY32">
        <v>46370</v>
      </c>
      <c r="BZ32" t="s">
        <v>503</v>
      </c>
      <c r="CA32">
        <v>46370</v>
      </c>
      <c r="CB32">
        <v>14</v>
      </c>
      <c r="CC32" t="s">
        <v>394</v>
      </c>
      <c r="CD32">
        <v>1001</v>
      </c>
      <c r="CE32" t="s">
        <v>434</v>
      </c>
      <c r="CF32" t="s">
        <v>478</v>
      </c>
      <c r="CG32">
        <v>21080</v>
      </c>
      <c r="CH32" t="s">
        <v>479</v>
      </c>
      <c r="CI32" t="s">
        <v>480</v>
      </c>
      <c r="CJ32" t="s">
        <v>478</v>
      </c>
      <c r="CK32" t="s">
        <v>435</v>
      </c>
      <c r="CL32">
        <v>21081</v>
      </c>
      <c r="CM32">
        <v>1001</v>
      </c>
      <c r="CN32" t="s">
        <v>400</v>
      </c>
      <c r="CO32" t="s">
        <v>552</v>
      </c>
      <c r="CP32" t="s">
        <v>401</v>
      </c>
      <c r="CQ32" t="s">
        <v>402</v>
      </c>
      <c r="CR32" t="s">
        <v>403</v>
      </c>
      <c r="CS32" t="s">
        <v>570</v>
      </c>
      <c r="CW32">
        <v>0</v>
      </c>
      <c r="CX32">
        <v>0</v>
      </c>
      <c r="CY32">
        <v>0</v>
      </c>
      <c r="CZ32" t="s">
        <v>404</v>
      </c>
      <c r="DA32" t="s">
        <v>471</v>
      </c>
      <c r="DD32" t="s">
        <v>810</v>
      </c>
      <c r="DG32" t="s">
        <v>441</v>
      </c>
      <c r="DH32" t="s">
        <v>441</v>
      </c>
      <c r="DI32" t="s">
        <v>441</v>
      </c>
      <c r="DJ32">
        <v>479378</v>
      </c>
      <c r="DK32">
        <v>46300</v>
      </c>
      <c r="DM32" t="s">
        <v>811</v>
      </c>
      <c r="DO32" t="s">
        <v>812</v>
      </c>
      <c r="DP32" t="s">
        <v>642</v>
      </c>
      <c r="DQ32" t="s">
        <v>121</v>
      </c>
      <c r="DV32">
        <v>29228</v>
      </c>
      <c r="DW32">
        <v>46</v>
      </c>
      <c r="DX32">
        <v>1</v>
      </c>
      <c r="DY32">
        <v>49</v>
      </c>
      <c r="DZ32">
        <v>1</v>
      </c>
      <c r="EA32" t="s">
        <v>389</v>
      </c>
      <c r="EB32" t="s">
        <v>389</v>
      </c>
      <c r="EC32">
        <v>20000</v>
      </c>
      <c r="EG32">
        <v>0</v>
      </c>
      <c r="EH32">
        <v>0</v>
      </c>
      <c r="EI32">
        <v>0</v>
      </c>
      <c r="EJ32">
        <v>0</v>
      </c>
      <c r="EK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U32">
        <v>0</v>
      </c>
      <c r="EW32" t="s">
        <v>393</v>
      </c>
      <c r="EX32" t="s">
        <v>487</v>
      </c>
      <c r="EY32">
        <v>6325</v>
      </c>
      <c r="EZ32">
        <v>6325</v>
      </c>
      <c r="FA32">
        <v>0</v>
      </c>
      <c r="FB32">
        <v>0</v>
      </c>
      <c r="FC32">
        <v>2000000</v>
      </c>
      <c r="FD32" t="s">
        <v>813</v>
      </c>
      <c r="FF32" t="s">
        <v>814</v>
      </c>
      <c r="FG32">
        <v>46296</v>
      </c>
      <c r="FH32">
        <v>46301</v>
      </c>
    </row>
    <row r="33" spans="1:164" x14ac:dyDescent="0.3">
      <c r="A33" t="s">
        <v>355</v>
      </c>
      <c r="B33" t="s">
        <v>355</v>
      </c>
      <c r="C33">
        <v>24</v>
      </c>
      <c r="D33">
        <v>24</v>
      </c>
      <c r="E33">
        <v>46286</v>
      </c>
      <c r="F33">
        <v>1500000</v>
      </c>
      <c r="G33">
        <v>1500000</v>
      </c>
      <c r="H33" t="s">
        <v>324</v>
      </c>
      <c r="I33">
        <v>1479816.25</v>
      </c>
      <c r="J33" t="s">
        <v>468</v>
      </c>
      <c r="K33">
        <v>46299</v>
      </c>
      <c r="L33">
        <v>46299.544270833336</v>
      </c>
      <c r="M33">
        <v>47031</v>
      </c>
      <c r="N33" t="s">
        <v>410</v>
      </c>
      <c r="O33" t="s">
        <v>69</v>
      </c>
      <c r="P33" t="s">
        <v>563</v>
      </c>
      <c r="R33" t="s">
        <v>366</v>
      </c>
      <c r="S33" t="s">
        <v>367</v>
      </c>
      <c r="T33" t="s">
        <v>412</v>
      </c>
      <c r="U33" t="s">
        <v>413</v>
      </c>
      <c r="V33" t="s">
        <v>414</v>
      </c>
      <c r="W33" t="s">
        <v>371</v>
      </c>
      <c r="X33">
        <v>102</v>
      </c>
      <c r="Y33" t="s">
        <v>815</v>
      </c>
      <c r="Z33" t="s">
        <v>795</v>
      </c>
      <c r="AA33" t="s">
        <v>796</v>
      </c>
      <c r="AB33" t="s">
        <v>496</v>
      </c>
      <c r="AC33">
        <v>1</v>
      </c>
      <c r="AD33" t="s">
        <v>497</v>
      </c>
      <c r="AE33" t="s">
        <v>548</v>
      </c>
      <c r="AF33" t="s">
        <v>421</v>
      </c>
      <c r="AG33" t="s">
        <v>816</v>
      </c>
      <c r="AH33" t="s">
        <v>816</v>
      </c>
      <c r="AK33">
        <v>0</v>
      </c>
      <c r="AL33" t="s">
        <v>377</v>
      </c>
      <c r="AM33">
        <v>16.239999999999998</v>
      </c>
      <c r="AN33">
        <v>16.239999999999998</v>
      </c>
      <c r="AQ33" t="s">
        <v>378</v>
      </c>
      <c r="AR33" t="s">
        <v>378</v>
      </c>
      <c r="AS33" t="s">
        <v>423</v>
      </c>
      <c r="AT33" t="s">
        <v>380</v>
      </c>
      <c r="AU33" t="s">
        <v>381</v>
      </c>
      <c r="AV33" t="s">
        <v>817</v>
      </c>
      <c r="AW33" t="s">
        <v>818</v>
      </c>
      <c r="AX33">
        <v>0</v>
      </c>
      <c r="AY33">
        <v>0</v>
      </c>
      <c r="AZ33">
        <v>0</v>
      </c>
      <c r="BA33">
        <v>202500</v>
      </c>
      <c r="BB33" t="s">
        <v>384</v>
      </c>
      <c r="BD33" t="s">
        <v>427</v>
      </c>
      <c r="BE33" t="s">
        <v>386</v>
      </c>
      <c r="BF33">
        <v>46295</v>
      </c>
      <c r="BG33">
        <v>1500000</v>
      </c>
      <c r="BH33">
        <v>0</v>
      </c>
      <c r="BI33">
        <v>1500000</v>
      </c>
      <c r="BL33">
        <v>903040</v>
      </c>
      <c r="BM33" t="s">
        <v>552</v>
      </c>
      <c r="BN33" t="s">
        <v>429</v>
      </c>
      <c r="BO33" t="s">
        <v>569</v>
      </c>
      <c r="BP33">
        <v>10001</v>
      </c>
      <c r="BQ33">
        <v>8111</v>
      </c>
      <c r="BR33" t="s">
        <v>389</v>
      </c>
      <c r="BS33" t="s">
        <v>389</v>
      </c>
      <c r="BT33" t="s">
        <v>389</v>
      </c>
      <c r="BU33" t="s">
        <v>553</v>
      </c>
      <c r="BV33">
        <v>1012</v>
      </c>
      <c r="BW33" t="s">
        <v>433</v>
      </c>
      <c r="BX33" t="s">
        <v>392</v>
      </c>
      <c r="BY33">
        <v>46370</v>
      </c>
      <c r="BZ33" t="s">
        <v>503</v>
      </c>
      <c r="CA33">
        <v>46370</v>
      </c>
      <c r="CB33">
        <v>14</v>
      </c>
      <c r="CC33" t="s">
        <v>394</v>
      </c>
      <c r="CD33">
        <v>1001</v>
      </c>
      <c r="CE33" t="s">
        <v>434</v>
      </c>
      <c r="CF33" t="s">
        <v>395</v>
      </c>
      <c r="CG33">
        <v>21006</v>
      </c>
      <c r="CH33" t="s">
        <v>396</v>
      </c>
      <c r="CI33" t="s">
        <v>397</v>
      </c>
      <c r="CJ33" t="s">
        <v>398</v>
      </c>
      <c r="CK33" t="s">
        <v>435</v>
      </c>
      <c r="CL33">
        <v>21025</v>
      </c>
      <c r="CM33">
        <v>1001</v>
      </c>
      <c r="CN33" t="s">
        <v>400</v>
      </c>
      <c r="CO33" t="s">
        <v>552</v>
      </c>
      <c r="CP33" t="s">
        <v>401</v>
      </c>
      <c r="CQ33" t="s">
        <v>402</v>
      </c>
      <c r="CR33" t="s">
        <v>403</v>
      </c>
      <c r="CS33" t="s">
        <v>441</v>
      </c>
      <c r="CW33">
        <v>0</v>
      </c>
      <c r="CX33">
        <v>0</v>
      </c>
      <c r="CY33">
        <v>0</v>
      </c>
      <c r="CZ33" t="s">
        <v>404</v>
      </c>
      <c r="DA33" t="s">
        <v>405</v>
      </c>
      <c r="DG33" t="s">
        <v>441</v>
      </c>
      <c r="DH33" t="s">
        <v>441</v>
      </c>
      <c r="DI33" t="s">
        <v>441</v>
      </c>
      <c r="DJ33">
        <v>479233</v>
      </c>
      <c r="DK33">
        <v>46299</v>
      </c>
      <c r="DM33" t="s">
        <v>819</v>
      </c>
      <c r="DO33" t="s">
        <v>820</v>
      </c>
      <c r="DP33" t="s">
        <v>408</v>
      </c>
      <c r="DQ33" t="s">
        <v>409</v>
      </c>
      <c r="DV33">
        <v>32568</v>
      </c>
      <c r="DW33">
        <v>37</v>
      </c>
      <c r="DX33">
        <v>1</v>
      </c>
      <c r="DY33">
        <v>52</v>
      </c>
      <c r="DZ33">
        <v>1</v>
      </c>
      <c r="EA33" t="s">
        <v>389</v>
      </c>
      <c r="EB33" t="s">
        <v>389</v>
      </c>
      <c r="EC33">
        <v>7500</v>
      </c>
      <c r="EG33">
        <v>0</v>
      </c>
      <c r="EH33">
        <v>0</v>
      </c>
      <c r="EI33">
        <v>0</v>
      </c>
      <c r="EJ33">
        <v>150000</v>
      </c>
      <c r="EK33">
        <v>0</v>
      </c>
      <c r="EL33" t="s">
        <v>821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 t="s">
        <v>560</v>
      </c>
      <c r="EU33">
        <v>150000</v>
      </c>
      <c r="EW33" t="s">
        <v>393</v>
      </c>
      <c r="EX33" t="s">
        <v>487</v>
      </c>
      <c r="EY33">
        <v>4743.75</v>
      </c>
      <c r="EZ33">
        <v>4743.75</v>
      </c>
      <c r="FA33">
        <v>20183.75</v>
      </c>
      <c r="FB33">
        <v>0</v>
      </c>
      <c r="FC33">
        <v>1500000</v>
      </c>
      <c r="FD33" t="s">
        <v>822</v>
      </c>
      <c r="FF33" t="s">
        <v>823</v>
      </c>
      <c r="FG33">
        <v>46296</v>
      </c>
      <c r="FH33">
        <v>46301</v>
      </c>
    </row>
    <row r="34" spans="1:164" x14ac:dyDescent="0.3">
      <c r="A34" t="s">
        <v>356</v>
      </c>
      <c r="B34" t="s">
        <v>356</v>
      </c>
      <c r="C34">
        <v>24</v>
      </c>
      <c r="D34">
        <v>24</v>
      </c>
      <c r="E34">
        <v>46292</v>
      </c>
      <c r="F34">
        <v>15000000</v>
      </c>
      <c r="G34">
        <v>15000000</v>
      </c>
      <c r="H34" t="s">
        <v>324</v>
      </c>
      <c r="I34">
        <v>15000000</v>
      </c>
      <c r="J34" t="s">
        <v>468</v>
      </c>
      <c r="K34">
        <v>46301</v>
      </c>
      <c r="L34">
        <v>46301.614930555559</v>
      </c>
      <c r="M34">
        <v>47036</v>
      </c>
      <c r="N34" t="s">
        <v>410</v>
      </c>
      <c r="O34" t="s">
        <v>21</v>
      </c>
      <c r="P34" t="s">
        <v>630</v>
      </c>
      <c r="Q34" t="s">
        <v>101</v>
      </c>
      <c r="R34" t="s">
        <v>366</v>
      </c>
      <c r="S34" t="s">
        <v>367</v>
      </c>
      <c r="T34" t="s">
        <v>412</v>
      </c>
      <c r="U34" t="s">
        <v>413</v>
      </c>
      <c r="V34" t="s">
        <v>492</v>
      </c>
      <c r="W34" t="s">
        <v>415</v>
      </c>
      <c r="X34">
        <v>495</v>
      </c>
      <c r="Y34" t="s">
        <v>470</v>
      </c>
      <c r="Z34" t="s">
        <v>417</v>
      </c>
      <c r="AA34" t="s">
        <v>372</v>
      </c>
      <c r="AB34" t="s">
        <v>418</v>
      </c>
      <c r="AE34" t="s">
        <v>472</v>
      </c>
      <c r="AF34" t="s">
        <v>421</v>
      </c>
      <c r="AG34" t="s">
        <v>824</v>
      </c>
      <c r="AH34" t="s">
        <v>824</v>
      </c>
      <c r="AK34">
        <v>0</v>
      </c>
      <c r="AL34" t="s">
        <v>377</v>
      </c>
      <c r="AM34">
        <v>7</v>
      </c>
      <c r="AN34">
        <v>7</v>
      </c>
      <c r="AQ34" t="s">
        <v>378</v>
      </c>
      <c r="AR34" t="s">
        <v>378</v>
      </c>
      <c r="AS34" t="s">
        <v>423</v>
      </c>
      <c r="AT34" t="s">
        <v>380</v>
      </c>
      <c r="AU34" t="s">
        <v>474</v>
      </c>
      <c r="AV34" t="s">
        <v>825</v>
      </c>
      <c r="AW34" t="s">
        <v>826</v>
      </c>
      <c r="AX34">
        <v>120</v>
      </c>
      <c r="AY34">
        <v>10</v>
      </c>
      <c r="AZ34">
        <v>130</v>
      </c>
      <c r="BA34">
        <v>39595635</v>
      </c>
      <c r="BB34" t="s">
        <v>384</v>
      </c>
      <c r="BC34" t="s">
        <v>385</v>
      </c>
      <c r="BD34" t="s">
        <v>427</v>
      </c>
      <c r="BE34" t="s">
        <v>427</v>
      </c>
      <c r="BF34">
        <v>45927.759817743055</v>
      </c>
      <c r="BG34">
        <v>15000000</v>
      </c>
      <c r="BH34">
        <v>0</v>
      </c>
      <c r="BI34">
        <v>15000000</v>
      </c>
      <c r="BL34">
        <v>902522</v>
      </c>
      <c r="BM34" t="s">
        <v>477</v>
      </c>
      <c r="BO34" t="s">
        <v>538</v>
      </c>
      <c r="BP34">
        <v>10006</v>
      </c>
      <c r="BQ34">
        <v>2090</v>
      </c>
      <c r="BR34" t="s">
        <v>431</v>
      </c>
      <c r="BS34" t="s">
        <v>431</v>
      </c>
      <c r="BT34" t="s">
        <v>431</v>
      </c>
      <c r="BU34" t="s">
        <v>432</v>
      </c>
      <c r="BV34">
        <v>1012</v>
      </c>
      <c r="BW34" t="s">
        <v>433</v>
      </c>
      <c r="BX34" t="s">
        <v>392</v>
      </c>
      <c r="BY34">
        <v>46370</v>
      </c>
      <c r="BZ34" t="s">
        <v>431</v>
      </c>
      <c r="CA34">
        <v>46370</v>
      </c>
      <c r="CB34">
        <v>14</v>
      </c>
      <c r="CC34" t="s">
        <v>394</v>
      </c>
      <c r="CD34">
        <v>1001</v>
      </c>
      <c r="CE34" t="s">
        <v>434</v>
      </c>
      <c r="CF34" t="s">
        <v>395</v>
      </c>
      <c r="CG34">
        <v>21006</v>
      </c>
      <c r="CH34" t="s">
        <v>396</v>
      </c>
      <c r="CI34" t="s">
        <v>397</v>
      </c>
      <c r="CJ34" t="s">
        <v>398</v>
      </c>
      <c r="CK34" t="s">
        <v>399</v>
      </c>
      <c r="CL34">
        <v>21027</v>
      </c>
      <c r="CM34">
        <v>1001</v>
      </c>
      <c r="CN34" t="s">
        <v>400</v>
      </c>
      <c r="CO34" t="s">
        <v>436</v>
      </c>
      <c r="CP34" t="s">
        <v>437</v>
      </c>
      <c r="CQ34" t="s">
        <v>402</v>
      </c>
      <c r="CR34" t="s">
        <v>403</v>
      </c>
      <c r="CS34" t="s">
        <v>481</v>
      </c>
      <c r="CW34">
        <v>0</v>
      </c>
      <c r="CX34">
        <v>0</v>
      </c>
      <c r="CY34">
        <v>0</v>
      </c>
      <c r="CZ34" t="s">
        <v>439</v>
      </c>
      <c r="DA34" t="s">
        <v>405</v>
      </c>
      <c r="DB34" t="s">
        <v>539</v>
      </c>
      <c r="DD34" t="s">
        <v>810</v>
      </c>
      <c r="DG34" t="s">
        <v>637</v>
      </c>
      <c r="DH34" t="s">
        <v>638</v>
      </c>
      <c r="DI34" t="s">
        <v>827</v>
      </c>
      <c r="DJ34">
        <v>479475</v>
      </c>
      <c r="DK34">
        <v>46301</v>
      </c>
      <c r="DM34" t="s">
        <v>828</v>
      </c>
      <c r="DO34" t="s">
        <v>829</v>
      </c>
      <c r="DP34" t="s">
        <v>642</v>
      </c>
      <c r="DQ34" t="s">
        <v>121</v>
      </c>
      <c r="DV34">
        <v>25997</v>
      </c>
      <c r="DW34">
        <v>55</v>
      </c>
      <c r="DX34">
        <v>1</v>
      </c>
      <c r="DY34">
        <v>8</v>
      </c>
      <c r="DZ34">
        <v>1</v>
      </c>
      <c r="EC34">
        <v>75000</v>
      </c>
      <c r="EG34">
        <v>0</v>
      </c>
      <c r="EH34">
        <v>0</v>
      </c>
      <c r="EI34">
        <v>0</v>
      </c>
      <c r="EJ34">
        <v>0</v>
      </c>
      <c r="EK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2300000</v>
      </c>
      <c r="ES34">
        <v>0</v>
      </c>
      <c r="EU34">
        <v>2300000</v>
      </c>
      <c r="EW34" t="s">
        <v>486</v>
      </c>
      <c r="EX34" t="s">
        <v>448</v>
      </c>
      <c r="EY34">
        <v>28462.5</v>
      </c>
      <c r="EZ34">
        <v>28462.5</v>
      </c>
      <c r="FA34">
        <v>0</v>
      </c>
      <c r="FB34">
        <v>0</v>
      </c>
      <c r="FC34">
        <v>15000000</v>
      </c>
      <c r="FD34" t="s">
        <v>830</v>
      </c>
      <c r="FF34" t="s">
        <v>831</v>
      </c>
      <c r="FG34">
        <v>46296</v>
      </c>
      <c r="FH34">
        <v>46301</v>
      </c>
    </row>
    <row r="35" spans="1:164" x14ac:dyDescent="0.3">
      <c r="A35" t="s">
        <v>357</v>
      </c>
      <c r="B35" t="s">
        <v>357</v>
      </c>
      <c r="C35">
        <v>24</v>
      </c>
      <c r="D35">
        <v>24</v>
      </c>
      <c r="E35">
        <v>46295</v>
      </c>
      <c r="F35">
        <v>3000000</v>
      </c>
      <c r="G35">
        <v>3000000</v>
      </c>
      <c r="H35" t="s">
        <v>324</v>
      </c>
      <c r="I35">
        <v>2966332.5</v>
      </c>
      <c r="J35" t="s">
        <v>468</v>
      </c>
      <c r="K35">
        <v>46300</v>
      </c>
      <c r="L35">
        <v>46300.485844907409</v>
      </c>
      <c r="M35">
        <v>47031</v>
      </c>
      <c r="N35" t="s">
        <v>410</v>
      </c>
      <c r="O35" t="s">
        <v>37</v>
      </c>
      <c r="P35" t="s">
        <v>832</v>
      </c>
      <c r="R35" t="s">
        <v>366</v>
      </c>
      <c r="S35" t="s">
        <v>367</v>
      </c>
      <c r="T35" t="s">
        <v>412</v>
      </c>
      <c r="U35" t="s">
        <v>413</v>
      </c>
      <c r="V35" t="s">
        <v>414</v>
      </c>
      <c r="W35" t="s">
        <v>371</v>
      </c>
      <c r="X35">
        <v>167</v>
      </c>
      <c r="Y35" t="s">
        <v>806</v>
      </c>
      <c r="Z35" t="s">
        <v>728</v>
      </c>
      <c r="AA35" t="s">
        <v>729</v>
      </c>
      <c r="AB35" t="s">
        <v>496</v>
      </c>
      <c r="AC35">
        <v>1</v>
      </c>
      <c r="AD35" t="s">
        <v>497</v>
      </c>
      <c r="AE35" t="s">
        <v>548</v>
      </c>
      <c r="AF35" t="s">
        <v>421</v>
      </c>
      <c r="AG35" t="s">
        <v>833</v>
      </c>
      <c r="AH35" t="s">
        <v>833</v>
      </c>
      <c r="AK35">
        <v>0</v>
      </c>
      <c r="AL35" t="s">
        <v>377</v>
      </c>
      <c r="AM35">
        <v>16.239999999999998</v>
      </c>
      <c r="AN35">
        <v>16.239999999999998</v>
      </c>
      <c r="AQ35" t="s">
        <v>378</v>
      </c>
      <c r="AR35" t="s">
        <v>378</v>
      </c>
      <c r="AS35" t="s">
        <v>423</v>
      </c>
      <c r="AT35" t="s">
        <v>380</v>
      </c>
      <c r="AU35" t="s">
        <v>381</v>
      </c>
      <c r="AV35" t="s">
        <v>834</v>
      </c>
      <c r="AW35" t="s">
        <v>835</v>
      </c>
      <c r="AX35">
        <v>7</v>
      </c>
      <c r="AY35">
        <v>0</v>
      </c>
      <c r="AZ35">
        <v>7</v>
      </c>
      <c r="BA35">
        <v>270000</v>
      </c>
      <c r="BB35" t="s">
        <v>384</v>
      </c>
      <c r="BD35" t="s">
        <v>427</v>
      </c>
      <c r="BE35" t="s">
        <v>427</v>
      </c>
      <c r="BF35">
        <v>46162</v>
      </c>
      <c r="BG35">
        <v>3000000</v>
      </c>
      <c r="BH35">
        <v>0</v>
      </c>
      <c r="BI35">
        <v>3000000</v>
      </c>
      <c r="BL35">
        <v>903040</v>
      </c>
      <c r="BM35" t="s">
        <v>552</v>
      </c>
      <c r="BN35" t="s">
        <v>429</v>
      </c>
      <c r="BO35" t="s">
        <v>569</v>
      </c>
      <c r="BP35">
        <v>10001</v>
      </c>
      <c r="BQ35">
        <v>8111</v>
      </c>
      <c r="BR35" t="s">
        <v>389</v>
      </c>
      <c r="BS35" t="s">
        <v>389</v>
      </c>
      <c r="BT35" t="s">
        <v>389</v>
      </c>
      <c r="BU35" t="s">
        <v>553</v>
      </c>
      <c r="BV35">
        <v>1012</v>
      </c>
      <c r="BW35" t="s">
        <v>433</v>
      </c>
      <c r="BX35" t="s">
        <v>392</v>
      </c>
      <c r="BY35">
        <v>46370</v>
      </c>
      <c r="BZ35" t="s">
        <v>503</v>
      </c>
      <c r="CA35">
        <v>46370</v>
      </c>
      <c r="CB35">
        <v>14</v>
      </c>
      <c r="CC35" t="s">
        <v>394</v>
      </c>
      <c r="CD35">
        <v>1001</v>
      </c>
      <c r="CE35" t="s">
        <v>434</v>
      </c>
      <c r="CF35" t="s">
        <v>395</v>
      </c>
      <c r="CG35">
        <v>21006</v>
      </c>
      <c r="CH35" t="s">
        <v>396</v>
      </c>
      <c r="CI35" t="s">
        <v>397</v>
      </c>
      <c r="CJ35" t="s">
        <v>398</v>
      </c>
      <c r="CK35" t="s">
        <v>435</v>
      </c>
      <c r="CL35">
        <v>21025</v>
      </c>
      <c r="CM35">
        <v>1001</v>
      </c>
      <c r="CN35" t="s">
        <v>400</v>
      </c>
      <c r="CO35" t="s">
        <v>552</v>
      </c>
      <c r="CP35" t="s">
        <v>401</v>
      </c>
      <c r="CQ35" t="s">
        <v>402</v>
      </c>
      <c r="CR35" t="s">
        <v>403</v>
      </c>
      <c r="CS35" t="s">
        <v>441</v>
      </c>
      <c r="CW35">
        <v>0</v>
      </c>
      <c r="CX35">
        <v>0</v>
      </c>
      <c r="CY35">
        <v>0</v>
      </c>
      <c r="CZ35" t="s">
        <v>404</v>
      </c>
      <c r="DA35" t="s">
        <v>405</v>
      </c>
      <c r="DD35" t="s">
        <v>409</v>
      </c>
      <c r="DG35" t="s">
        <v>441</v>
      </c>
      <c r="DH35" t="s">
        <v>441</v>
      </c>
      <c r="DI35" t="s">
        <v>441</v>
      </c>
      <c r="DJ35">
        <v>479377</v>
      </c>
      <c r="DK35">
        <v>46300</v>
      </c>
      <c r="DM35" t="s">
        <v>836</v>
      </c>
      <c r="DO35" t="s">
        <v>837</v>
      </c>
      <c r="DP35" t="s">
        <v>408</v>
      </c>
      <c r="DQ35" t="s">
        <v>409</v>
      </c>
      <c r="DV35">
        <v>31229</v>
      </c>
      <c r="DW35">
        <v>41</v>
      </c>
      <c r="DX35">
        <v>1</v>
      </c>
      <c r="DY35">
        <v>41</v>
      </c>
      <c r="DZ35">
        <v>1</v>
      </c>
      <c r="EA35" t="s">
        <v>389</v>
      </c>
      <c r="EB35" t="s">
        <v>389</v>
      </c>
      <c r="EC35">
        <v>15000</v>
      </c>
      <c r="EG35">
        <v>0</v>
      </c>
      <c r="EH35">
        <v>0</v>
      </c>
      <c r="EI35">
        <v>0</v>
      </c>
      <c r="EJ35">
        <v>300000</v>
      </c>
      <c r="EK35">
        <v>0</v>
      </c>
      <c r="EL35" t="s">
        <v>838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 t="s">
        <v>560</v>
      </c>
      <c r="EU35">
        <v>300000</v>
      </c>
      <c r="EW35" t="s">
        <v>393</v>
      </c>
      <c r="EX35" t="s">
        <v>487</v>
      </c>
      <c r="EY35">
        <v>9487.5</v>
      </c>
      <c r="EZ35">
        <v>9487.5</v>
      </c>
      <c r="FA35">
        <v>33667.5</v>
      </c>
      <c r="FB35">
        <v>0</v>
      </c>
      <c r="FC35">
        <v>3000000</v>
      </c>
      <c r="FD35" t="s">
        <v>839</v>
      </c>
      <c r="FF35" t="s">
        <v>840</v>
      </c>
      <c r="FG35">
        <v>46296</v>
      </c>
      <c r="FH35">
        <v>46301</v>
      </c>
    </row>
    <row r="36" spans="1:164" x14ac:dyDescent="0.3">
      <c r="A36" t="s">
        <v>358</v>
      </c>
      <c r="B36" t="s">
        <v>358</v>
      </c>
      <c r="C36">
        <v>36</v>
      </c>
      <c r="D36">
        <v>36</v>
      </c>
      <c r="E36">
        <v>46296</v>
      </c>
      <c r="F36">
        <v>1500000</v>
      </c>
      <c r="G36">
        <v>1500000</v>
      </c>
      <c r="H36" t="s">
        <v>324</v>
      </c>
      <c r="I36">
        <v>1476515.47</v>
      </c>
      <c r="J36" t="s">
        <v>468</v>
      </c>
      <c r="K36">
        <v>46301</v>
      </c>
      <c r="L36">
        <v>46301.606562499997</v>
      </c>
      <c r="M36">
        <v>47396</v>
      </c>
      <c r="N36" t="s">
        <v>410</v>
      </c>
      <c r="O36" t="s">
        <v>37</v>
      </c>
      <c r="P36" t="s">
        <v>832</v>
      </c>
      <c r="R36" t="s">
        <v>366</v>
      </c>
      <c r="S36" t="s">
        <v>367</v>
      </c>
      <c r="T36" t="s">
        <v>412</v>
      </c>
      <c r="U36" t="s">
        <v>413</v>
      </c>
      <c r="V36" t="s">
        <v>414</v>
      </c>
      <c r="W36" t="s">
        <v>371</v>
      </c>
      <c r="X36">
        <v>102</v>
      </c>
      <c r="Y36" t="s">
        <v>815</v>
      </c>
      <c r="Z36" t="s">
        <v>795</v>
      </c>
      <c r="AA36" t="s">
        <v>796</v>
      </c>
      <c r="AB36" t="s">
        <v>496</v>
      </c>
      <c r="AE36" t="s">
        <v>548</v>
      </c>
      <c r="AF36" t="s">
        <v>421</v>
      </c>
      <c r="AG36" t="s">
        <v>841</v>
      </c>
      <c r="AH36" t="s">
        <v>841</v>
      </c>
      <c r="AK36">
        <v>0</v>
      </c>
      <c r="AL36" t="s">
        <v>377</v>
      </c>
      <c r="AM36">
        <v>16.239999999999998</v>
      </c>
      <c r="AN36">
        <v>16.239999999999998</v>
      </c>
      <c r="AQ36" t="s">
        <v>378</v>
      </c>
      <c r="AR36" t="s">
        <v>378</v>
      </c>
      <c r="AS36" t="s">
        <v>423</v>
      </c>
      <c r="AT36" t="s">
        <v>380</v>
      </c>
      <c r="AU36" t="s">
        <v>381</v>
      </c>
      <c r="AV36" t="s">
        <v>842</v>
      </c>
      <c r="AW36" t="s">
        <v>843</v>
      </c>
      <c r="AX36">
        <v>5</v>
      </c>
      <c r="AY36">
        <v>0</v>
      </c>
      <c r="AZ36">
        <v>5</v>
      </c>
      <c r="BA36">
        <v>270000</v>
      </c>
      <c r="BB36" t="s">
        <v>384</v>
      </c>
      <c r="BC36" t="s">
        <v>385</v>
      </c>
      <c r="BD36" t="s">
        <v>427</v>
      </c>
      <c r="BE36" t="s">
        <v>427</v>
      </c>
      <c r="BF36">
        <v>45922</v>
      </c>
      <c r="BG36">
        <v>1500000</v>
      </c>
      <c r="BH36">
        <v>0</v>
      </c>
      <c r="BI36">
        <v>1500000</v>
      </c>
      <c r="BL36">
        <v>903040</v>
      </c>
      <c r="BM36" t="s">
        <v>552</v>
      </c>
      <c r="BO36" t="s">
        <v>569</v>
      </c>
      <c r="BP36">
        <v>10001</v>
      </c>
      <c r="BQ36">
        <v>8111</v>
      </c>
      <c r="BR36" t="s">
        <v>389</v>
      </c>
      <c r="BS36" t="s">
        <v>389</v>
      </c>
      <c r="BT36" t="s">
        <v>389</v>
      </c>
      <c r="BU36" t="s">
        <v>553</v>
      </c>
      <c r="BV36">
        <v>1012</v>
      </c>
      <c r="BW36" t="s">
        <v>433</v>
      </c>
      <c r="BX36" t="s">
        <v>392</v>
      </c>
      <c r="BY36">
        <v>46370</v>
      </c>
      <c r="BZ36" t="s">
        <v>393</v>
      </c>
      <c r="CA36">
        <v>46370</v>
      </c>
      <c r="CB36">
        <v>14</v>
      </c>
      <c r="CC36" t="s">
        <v>394</v>
      </c>
      <c r="CD36">
        <v>1001</v>
      </c>
      <c r="CE36" t="s">
        <v>434</v>
      </c>
      <c r="CF36" t="s">
        <v>395</v>
      </c>
      <c r="CG36">
        <v>21006</v>
      </c>
      <c r="CH36" t="s">
        <v>396</v>
      </c>
      <c r="CI36" t="s">
        <v>397</v>
      </c>
      <c r="CJ36" t="s">
        <v>398</v>
      </c>
      <c r="CK36" t="s">
        <v>399</v>
      </c>
      <c r="CL36">
        <v>21027</v>
      </c>
      <c r="CM36">
        <v>1001</v>
      </c>
      <c r="CN36" t="s">
        <v>400</v>
      </c>
      <c r="CO36" t="s">
        <v>552</v>
      </c>
      <c r="CP36" t="s">
        <v>401</v>
      </c>
      <c r="CQ36" t="s">
        <v>402</v>
      </c>
      <c r="CR36" t="s">
        <v>403</v>
      </c>
      <c r="CS36" t="s">
        <v>441</v>
      </c>
      <c r="CW36">
        <v>0</v>
      </c>
      <c r="CX36">
        <v>0</v>
      </c>
      <c r="CY36">
        <v>0</v>
      </c>
      <c r="CZ36" t="s">
        <v>404</v>
      </c>
      <c r="DA36" t="s">
        <v>405</v>
      </c>
      <c r="DD36" t="s">
        <v>409</v>
      </c>
      <c r="DG36" t="s">
        <v>441</v>
      </c>
      <c r="DH36" t="s">
        <v>441</v>
      </c>
      <c r="DI36" t="s">
        <v>441</v>
      </c>
      <c r="DJ36">
        <v>479474</v>
      </c>
      <c r="DK36">
        <v>46301</v>
      </c>
      <c r="DM36" t="s">
        <v>844</v>
      </c>
      <c r="DO36" t="s">
        <v>845</v>
      </c>
      <c r="DP36" t="s">
        <v>408</v>
      </c>
      <c r="DQ36" t="s">
        <v>409</v>
      </c>
      <c r="DV36">
        <v>26703</v>
      </c>
      <c r="DW36">
        <v>53</v>
      </c>
      <c r="DX36">
        <v>1</v>
      </c>
      <c r="DY36">
        <v>53</v>
      </c>
      <c r="DZ36">
        <v>1</v>
      </c>
      <c r="EC36">
        <v>11250</v>
      </c>
      <c r="EG36">
        <v>0</v>
      </c>
      <c r="EH36">
        <v>0</v>
      </c>
      <c r="EI36">
        <v>0</v>
      </c>
      <c r="EJ36">
        <v>150000</v>
      </c>
      <c r="EK36">
        <v>0</v>
      </c>
      <c r="EL36" t="s">
        <v>846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 t="s">
        <v>560</v>
      </c>
      <c r="EU36">
        <v>150000</v>
      </c>
      <c r="EW36" t="s">
        <v>393</v>
      </c>
      <c r="EX36" t="s">
        <v>487</v>
      </c>
      <c r="EY36">
        <v>3017.03</v>
      </c>
      <c r="EZ36">
        <v>3017.03</v>
      </c>
      <c r="FA36">
        <v>23484.53</v>
      </c>
      <c r="FB36">
        <v>0</v>
      </c>
      <c r="FC36">
        <v>1500000</v>
      </c>
      <c r="FD36" t="s">
        <v>847</v>
      </c>
      <c r="FF36" t="s">
        <v>848</v>
      </c>
      <c r="FG36">
        <v>46296</v>
      </c>
      <c r="FH36">
        <v>46301</v>
      </c>
    </row>
    <row r="37" spans="1:164" x14ac:dyDescent="0.3">
      <c r="A37" t="s">
        <v>359</v>
      </c>
      <c r="B37" t="s">
        <v>359</v>
      </c>
      <c r="C37">
        <v>36</v>
      </c>
      <c r="D37">
        <v>36</v>
      </c>
      <c r="E37">
        <v>46292</v>
      </c>
      <c r="G37">
        <v>800000</v>
      </c>
      <c r="H37" t="s">
        <v>360</v>
      </c>
      <c r="I37">
        <v>800000</v>
      </c>
      <c r="J37" t="s">
        <v>468</v>
      </c>
      <c r="K37">
        <v>46299</v>
      </c>
      <c r="L37">
        <v>46299.565810185188</v>
      </c>
      <c r="M37">
        <v>47392</v>
      </c>
      <c r="N37" t="s">
        <v>410</v>
      </c>
      <c r="O37" t="s">
        <v>3</v>
      </c>
      <c r="P37" t="s">
        <v>849</v>
      </c>
      <c r="R37" t="s">
        <v>366</v>
      </c>
      <c r="S37" t="s">
        <v>367</v>
      </c>
      <c r="T37" t="s">
        <v>412</v>
      </c>
      <c r="U37" t="s">
        <v>413</v>
      </c>
      <c r="V37" t="s">
        <v>414</v>
      </c>
      <c r="W37" t="s">
        <v>371</v>
      </c>
      <c r="X37">
        <v>155</v>
      </c>
      <c r="Y37" t="s">
        <v>668</v>
      </c>
      <c r="Z37" t="s">
        <v>669</v>
      </c>
      <c r="AA37" t="s">
        <v>670</v>
      </c>
      <c r="AB37" t="s">
        <v>496</v>
      </c>
      <c r="AC37">
        <v>1</v>
      </c>
      <c r="AD37" t="s">
        <v>497</v>
      </c>
      <c r="AE37" t="s">
        <v>374</v>
      </c>
      <c r="AF37" t="s">
        <v>421</v>
      </c>
      <c r="AG37" t="s">
        <v>850</v>
      </c>
      <c r="AH37" t="s">
        <v>850</v>
      </c>
      <c r="AK37">
        <v>0</v>
      </c>
      <c r="AL37" t="s">
        <v>377</v>
      </c>
      <c r="AM37">
        <v>16.489999999999998</v>
      </c>
      <c r="AN37">
        <v>16.489999999999998</v>
      </c>
      <c r="AQ37" t="s">
        <v>378</v>
      </c>
      <c r="AR37" t="s">
        <v>378</v>
      </c>
      <c r="AS37" t="s">
        <v>423</v>
      </c>
      <c r="AT37" t="s">
        <v>380</v>
      </c>
      <c r="AU37" t="s">
        <v>381</v>
      </c>
      <c r="AV37" t="s">
        <v>851</v>
      </c>
      <c r="AW37" t="s">
        <v>852</v>
      </c>
      <c r="AX37">
        <v>2</v>
      </c>
      <c r="AY37">
        <v>0</v>
      </c>
      <c r="AZ37">
        <v>2</v>
      </c>
      <c r="BA37">
        <v>121500</v>
      </c>
      <c r="BB37" t="s">
        <v>384</v>
      </c>
      <c r="BD37" t="s">
        <v>427</v>
      </c>
      <c r="BE37" t="s">
        <v>427</v>
      </c>
      <c r="BF37">
        <v>45732</v>
      </c>
      <c r="BG37">
        <v>2000000</v>
      </c>
      <c r="BH37">
        <v>1099.33</v>
      </c>
      <c r="BI37">
        <v>2001099.33</v>
      </c>
      <c r="BL37">
        <v>903050</v>
      </c>
      <c r="BM37" t="s">
        <v>387</v>
      </c>
      <c r="BN37" t="s">
        <v>429</v>
      </c>
      <c r="BO37" t="s">
        <v>569</v>
      </c>
      <c r="BP37">
        <v>10001</v>
      </c>
      <c r="BQ37">
        <v>8112</v>
      </c>
      <c r="BR37" t="s">
        <v>389</v>
      </c>
      <c r="BS37" t="s">
        <v>389</v>
      </c>
      <c r="BT37" t="s">
        <v>389</v>
      </c>
      <c r="BU37" t="s">
        <v>390</v>
      </c>
      <c r="BV37">
        <v>1012</v>
      </c>
      <c r="BW37" t="s">
        <v>433</v>
      </c>
      <c r="BX37" t="s">
        <v>392</v>
      </c>
      <c r="BY37">
        <v>46370</v>
      </c>
      <c r="BZ37" t="s">
        <v>503</v>
      </c>
      <c r="CA37">
        <v>46370</v>
      </c>
      <c r="CB37">
        <v>14</v>
      </c>
      <c r="CC37" t="s">
        <v>394</v>
      </c>
      <c r="CD37">
        <v>1001</v>
      </c>
      <c r="CE37" t="s">
        <v>434</v>
      </c>
      <c r="CF37" t="s">
        <v>395</v>
      </c>
      <c r="CG37">
        <v>21006</v>
      </c>
      <c r="CH37" t="s">
        <v>396</v>
      </c>
      <c r="CI37" t="s">
        <v>397</v>
      </c>
      <c r="CJ37" t="s">
        <v>398</v>
      </c>
      <c r="CK37" t="s">
        <v>435</v>
      </c>
      <c r="CL37">
        <v>21025</v>
      </c>
      <c r="CM37">
        <v>1001</v>
      </c>
      <c r="CO37" t="s">
        <v>387</v>
      </c>
      <c r="CP37" t="s">
        <v>401</v>
      </c>
      <c r="CQ37" t="s">
        <v>402</v>
      </c>
      <c r="CR37" t="s">
        <v>403</v>
      </c>
      <c r="CS37" t="s">
        <v>441</v>
      </c>
      <c r="CW37">
        <v>0</v>
      </c>
      <c r="CX37">
        <v>0</v>
      </c>
      <c r="CY37">
        <v>0</v>
      </c>
      <c r="CZ37" t="s">
        <v>404</v>
      </c>
      <c r="DA37" t="s">
        <v>405</v>
      </c>
      <c r="DD37" t="s">
        <v>853</v>
      </c>
      <c r="DG37" t="s">
        <v>441</v>
      </c>
      <c r="DH37" t="s">
        <v>441</v>
      </c>
      <c r="DI37" t="s">
        <v>441</v>
      </c>
      <c r="DJ37">
        <v>478777</v>
      </c>
      <c r="DK37">
        <v>46294</v>
      </c>
      <c r="DM37" t="s">
        <v>854</v>
      </c>
      <c r="DO37" t="s">
        <v>855</v>
      </c>
      <c r="DP37" t="s">
        <v>856</v>
      </c>
      <c r="DQ37" t="s">
        <v>558</v>
      </c>
      <c r="DV37">
        <v>29843</v>
      </c>
      <c r="DW37">
        <v>45</v>
      </c>
      <c r="DX37">
        <v>1</v>
      </c>
      <c r="DY37">
        <v>46</v>
      </c>
      <c r="DZ37">
        <v>1</v>
      </c>
      <c r="EA37" t="s">
        <v>389</v>
      </c>
      <c r="EB37" t="s">
        <v>389</v>
      </c>
      <c r="EC37">
        <v>0</v>
      </c>
      <c r="EG37">
        <v>0</v>
      </c>
      <c r="EH37">
        <v>0</v>
      </c>
      <c r="EI37">
        <v>0</v>
      </c>
      <c r="EJ37">
        <v>200000</v>
      </c>
      <c r="EK37">
        <v>0</v>
      </c>
      <c r="EL37" t="s">
        <v>857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 t="s">
        <v>560</v>
      </c>
      <c r="EU37">
        <v>200000</v>
      </c>
      <c r="EW37" t="s">
        <v>393</v>
      </c>
      <c r="EX37" t="s">
        <v>487</v>
      </c>
      <c r="EY37">
        <v>6325</v>
      </c>
      <c r="EZ37">
        <v>6325</v>
      </c>
      <c r="FA37">
        <v>24455</v>
      </c>
      <c r="FB37">
        <v>0</v>
      </c>
      <c r="FC37">
        <v>800000</v>
      </c>
      <c r="FD37" t="s">
        <v>858</v>
      </c>
      <c r="FF37" t="s">
        <v>859</v>
      </c>
      <c r="FG37">
        <v>46296</v>
      </c>
      <c r="FH37">
        <v>46301</v>
      </c>
    </row>
    <row r="38" spans="1:164" x14ac:dyDescent="0.3">
      <c r="A38" t="s">
        <v>361</v>
      </c>
      <c r="B38" t="s">
        <v>361</v>
      </c>
      <c r="C38">
        <v>24</v>
      </c>
      <c r="D38">
        <v>24</v>
      </c>
      <c r="E38">
        <v>46294</v>
      </c>
      <c r="F38">
        <v>1000000</v>
      </c>
      <c r="G38">
        <v>1000000</v>
      </c>
      <c r="H38" t="s">
        <v>324</v>
      </c>
      <c r="I38">
        <v>986772.5</v>
      </c>
      <c r="J38" t="s">
        <v>468</v>
      </c>
      <c r="K38">
        <v>46300</v>
      </c>
      <c r="L38">
        <v>46300.641932870371</v>
      </c>
      <c r="M38">
        <v>47031</v>
      </c>
      <c r="N38" t="s">
        <v>410</v>
      </c>
      <c r="O38" t="s">
        <v>109</v>
      </c>
      <c r="P38" t="s">
        <v>860</v>
      </c>
      <c r="R38" t="s">
        <v>366</v>
      </c>
      <c r="S38" t="s">
        <v>367</v>
      </c>
      <c r="T38" t="s">
        <v>412</v>
      </c>
      <c r="U38" t="s">
        <v>413</v>
      </c>
      <c r="V38" t="s">
        <v>414</v>
      </c>
      <c r="W38" t="s">
        <v>371</v>
      </c>
      <c r="X38">
        <v>547</v>
      </c>
      <c r="Y38" t="s">
        <v>578</v>
      </c>
      <c r="AA38" t="s">
        <v>373</v>
      </c>
      <c r="AB38" t="s">
        <v>496</v>
      </c>
      <c r="AC38">
        <v>1</v>
      </c>
      <c r="AD38" t="s">
        <v>497</v>
      </c>
      <c r="AE38" t="s">
        <v>548</v>
      </c>
      <c r="AF38" t="s">
        <v>421</v>
      </c>
      <c r="AG38" t="s">
        <v>861</v>
      </c>
      <c r="AH38" t="s">
        <v>861</v>
      </c>
      <c r="AK38">
        <v>0</v>
      </c>
      <c r="AL38" t="s">
        <v>377</v>
      </c>
      <c r="AM38">
        <v>15.49</v>
      </c>
      <c r="AN38">
        <v>15.49</v>
      </c>
      <c r="AQ38" t="s">
        <v>378</v>
      </c>
      <c r="AR38" t="s">
        <v>378</v>
      </c>
      <c r="AS38" t="s">
        <v>423</v>
      </c>
      <c r="AT38" t="s">
        <v>380</v>
      </c>
      <c r="AU38" t="s">
        <v>381</v>
      </c>
      <c r="AV38" t="s">
        <v>862</v>
      </c>
      <c r="AW38" t="s">
        <v>623</v>
      </c>
      <c r="AX38">
        <v>2</v>
      </c>
      <c r="AY38">
        <v>0</v>
      </c>
      <c r="AZ38">
        <v>2</v>
      </c>
      <c r="BA38">
        <v>270000</v>
      </c>
      <c r="BB38" t="s">
        <v>384</v>
      </c>
      <c r="BD38" t="s">
        <v>427</v>
      </c>
      <c r="BE38" t="s">
        <v>427</v>
      </c>
      <c r="BF38">
        <v>46051</v>
      </c>
      <c r="BG38">
        <v>1000000</v>
      </c>
      <c r="BH38">
        <v>0</v>
      </c>
      <c r="BI38">
        <v>1000000</v>
      </c>
      <c r="BL38">
        <v>903040</v>
      </c>
      <c r="BM38" t="s">
        <v>552</v>
      </c>
      <c r="BN38" t="s">
        <v>429</v>
      </c>
      <c r="BO38" t="s">
        <v>569</v>
      </c>
      <c r="BP38">
        <v>10001</v>
      </c>
      <c r="BQ38">
        <v>8111</v>
      </c>
      <c r="BR38" t="s">
        <v>389</v>
      </c>
      <c r="BS38" t="s">
        <v>389</v>
      </c>
      <c r="BT38" t="s">
        <v>389</v>
      </c>
      <c r="BU38" t="s">
        <v>553</v>
      </c>
      <c r="BV38">
        <v>1012</v>
      </c>
      <c r="BW38" t="s">
        <v>433</v>
      </c>
      <c r="BX38" t="s">
        <v>392</v>
      </c>
      <c r="BY38">
        <v>46370</v>
      </c>
      <c r="BZ38" t="s">
        <v>503</v>
      </c>
      <c r="CA38">
        <v>46370</v>
      </c>
      <c r="CB38">
        <v>14</v>
      </c>
      <c r="CC38" t="s">
        <v>394</v>
      </c>
      <c r="CD38">
        <v>1001</v>
      </c>
      <c r="CE38" t="s">
        <v>434</v>
      </c>
      <c r="CF38" t="s">
        <v>395</v>
      </c>
      <c r="CG38">
        <v>21006</v>
      </c>
      <c r="CH38" t="s">
        <v>396</v>
      </c>
      <c r="CI38" t="s">
        <v>397</v>
      </c>
      <c r="CJ38" t="s">
        <v>398</v>
      </c>
      <c r="CK38" t="s">
        <v>435</v>
      </c>
      <c r="CL38">
        <v>21025</v>
      </c>
      <c r="CM38">
        <v>1001</v>
      </c>
      <c r="CN38" t="s">
        <v>400</v>
      </c>
      <c r="CO38" t="s">
        <v>552</v>
      </c>
      <c r="CP38" t="s">
        <v>401</v>
      </c>
      <c r="CQ38" t="s">
        <v>402</v>
      </c>
      <c r="CR38" t="s">
        <v>403</v>
      </c>
      <c r="CS38" t="s">
        <v>441</v>
      </c>
      <c r="CW38">
        <v>0</v>
      </c>
      <c r="CX38">
        <v>0</v>
      </c>
      <c r="CY38">
        <v>0</v>
      </c>
      <c r="CZ38" t="s">
        <v>404</v>
      </c>
      <c r="DA38" t="s">
        <v>405</v>
      </c>
      <c r="DD38" t="s">
        <v>109</v>
      </c>
      <c r="DG38" t="s">
        <v>441</v>
      </c>
      <c r="DH38" t="s">
        <v>441</v>
      </c>
      <c r="DI38" t="s">
        <v>441</v>
      </c>
      <c r="DJ38">
        <v>479398</v>
      </c>
      <c r="DK38">
        <v>46300</v>
      </c>
      <c r="DM38" t="s">
        <v>863</v>
      </c>
      <c r="DO38" t="s">
        <v>864</v>
      </c>
      <c r="DP38" t="s">
        <v>865</v>
      </c>
      <c r="DQ38" t="s">
        <v>409</v>
      </c>
      <c r="DV38">
        <v>28250</v>
      </c>
      <c r="DW38">
        <v>49</v>
      </c>
      <c r="DX38">
        <v>1</v>
      </c>
      <c r="DY38">
        <v>55</v>
      </c>
      <c r="DZ38">
        <v>1</v>
      </c>
      <c r="EA38" t="s">
        <v>389</v>
      </c>
      <c r="EB38" t="s">
        <v>389</v>
      </c>
      <c r="EC38">
        <v>5000</v>
      </c>
      <c r="EG38">
        <v>0</v>
      </c>
      <c r="EH38">
        <v>0</v>
      </c>
      <c r="EI38">
        <v>0</v>
      </c>
      <c r="EJ38">
        <v>100000</v>
      </c>
      <c r="EK38">
        <v>0</v>
      </c>
      <c r="EL38" t="s">
        <v>866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 t="s">
        <v>560</v>
      </c>
      <c r="EU38">
        <v>100000</v>
      </c>
      <c r="EW38" t="s">
        <v>393</v>
      </c>
      <c r="EX38" t="s">
        <v>487</v>
      </c>
      <c r="EY38">
        <v>3162.5</v>
      </c>
      <c r="EZ38">
        <v>3162.5</v>
      </c>
      <c r="FA38">
        <v>13227.5</v>
      </c>
      <c r="FB38">
        <v>0</v>
      </c>
      <c r="FC38">
        <v>1000000</v>
      </c>
      <c r="FD38" t="s">
        <v>867</v>
      </c>
      <c r="FF38" t="s">
        <v>868</v>
      </c>
      <c r="FG38">
        <v>46296</v>
      </c>
      <c r="FH38">
        <v>46301</v>
      </c>
    </row>
    <row r="39" spans="1:164" x14ac:dyDescent="0.3">
      <c r="A39" t="s">
        <v>362</v>
      </c>
      <c r="B39" t="s">
        <v>362</v>
      </c>
      <c r="C39">
        <v>12</v>
      </c>
      <c r="D39">
        <v>12</v>
      </c>
      <c r="E39">
        <v>46295</v>
      </c>
      <c r="F39">
        <v>4000000</v>
      </c>
      <c r="G39">
        <v>4000000</v>
      </c>
      <c r="H39" t="s">
        <v>324</v>
      </c>
      <c r="I39">
        <v>4000000</v>
      </c>
      <c r="J39" t="s">
        <v>363</v>
      </c>
      <c r="K39">
        <v>46300</v>
      </c>
      <c r="L39">
        <v>46300.722233796296</v>
      </c>
      <c r="M39">
        <v>46665</v>
      </c>
      <c r="N39" t="s">
        <v>410</v>
      </c>
      <c r="O39" t="s">
        <v>149</v>
      </c>
      <c r="P39" t="s">
        <v>510</v>
      </c>
      <c r="R39" t="s">
        <v>366</v>
      </c>
      <c r="S39" t="s">
        <v>367</v>
      </c>
      <c r="T39" t="s">
        <v>412</v>
      </c>
      <c r="U39" t="s">
        <v>413</v>
      </c>
      <c r="V39" t="s">
        <v>414</v>
      </c>
      <c r="W39" t="s">
        <v>371</v>
      </c>
      <c r="X39">
        <v>124</v>
      </c>
      <c r="Y39" t="s">
        <v>773</v>
      </c>
      <c r="Z39" t="s">
        <v>453</v>
      </c>
      <c r="AA39" t="s">
        <v>454</v>
      </c>
      <c r="AB39" t="s">
        <v>471</v>
      </c>
      <c r="AC39">
        <v>1</v>
      </c>
      <c r="AD39" t="s">
        <v>497</v>
      </c>
      <c r="AE39" t="s">
        <v>548</v>
      </c>
      <c r="AF39" t="s">
        <v>421</v>
      </c>
      <c r="AG39" t="s">
        <v>869</v>
      </c>
      <c r="AH39" t="s">
        <v>869</v>
      </c>
      <c r="AK39">
        <v>0</v>
      </c>
      <c r="AL39" t="s">
        <v>377</v>
      </c>
      <c r="AM39">
        <v>9</v>
      </c>
      <c r="AN39">
        <v>9</v>
      </c>
      <c r="AQ39" t="s">
        <v>378</v>
      </c>
      <c r="AR39" t="s">
        <v>378</v>
      </c>
      <c r="AS39" t="s">
        <v>423</v>
      </c>
      <c r="AT39" t="s">
        <v>380</v>
      </c>
      <c r="AU39" t="s">
        <v>381</v>
      </c>
      <c r="AV39" t="s">
        <v>870</v>
      </c>
      <c r="AW39" t="s">
        <v>871</v>
      </c>
      <c r="AX39">
        <v>11</v>
      </c>
      <c r="AY39">
        <v>0</v>
      </c>
      <c r="AZ39">
        <v>11</v>
      </c>
      <c r="BA39">
        <v>243000</v>
      </c>
      <c r="BB39" t="s">
        <v>384</v>
      </c>
      <c r="BD39" t="s">
        <v>427</v>
      </c>
      <c r="BE39" t="s">
        <v>427</v>
      </c>
      <c r="BF39">
        <v>45930.729619212965</v>
      </c>
      <c r="BG39">
        <v>4000000</v>
      </c>
      <c r="BH39">
        <v>0</v>
      </c>
      <c r="BI39">
        <v>4000000</v>
      </c>
      <c r="BL39">
        <v>903040</v>
      </c>
      <c r="BM39" t="s">
        <v>552</v>
      </c>
      <c r="BN39" t="s">
        <v>429</v>
      </c>
      <c r="BO39" t="s">
        <v>569</v>
      </c>
      <c r="BP39">
        <v>10001</v>
      </c>
      <c r="BQ39">
        <v>8111</v>
      </c>
      <c r="BR39" t="s">
        <v>389</v>
      </c>
      <c r="BS39" t="s">
        <v>389</v>
      </c>
      <c r="BT39" t="s">
        <v>389</v>
      </c>
      <c r="BU39" t="s">
        <v>553</v>
      </c>
      <c r="BV39">
        <v>1012</v>
      </c>
      <c r="BW39" t="s">
        <v>433</v>
      </c>
      <c r="BX39" t="s">
        <v>392</v>
      </c>
      <c r="BY39">
        <v>46370</v>
      </c>
      <c r="BZ39" t="s">
        <v>503</v>
      </c>
      <c r="CA39">
        <v>46370</v>
      </c>
      <c r="CB39">
        <v>14</v>
      </c>
      <c r="CC39" t="s">
        <v>394</v>
      </c>
      <c r="CD39">
        <v>1001</v>
      </c>
      <c r="CE39" t="s">
        <v>434</v>
      </c>
      <c r="CF39" t="s">
        <v>478</v>
      </c>
      <c r="CG39">
        <v>21080</v>
      </c>
      <c r="CH39" t="s">
        <v>479</v>
      </c>
      <c r="CI39" t="s">
        <v>480</v>
      </c>
      <c r="CJ39" t="s">
        <v>478</v>
      </c>
      <c r="CK39" t="s">
        <v>435</v>
      </c>
      <c r="CL39">
        <v>21081</v>
      </c>
      <c r="CM39">
        <v>1001</v>
      </c>
      <c r="CN39" t="s">
        <v>400</v>
      </c>
      <c r="CO39" t="s">
        <v>552</v>
      </c>
      <c r="CP39" t="s">
        <v>401</v>
      </c>
      <c r="CQ39" t="s">
        <v>402</v>
      </c>
      <c r="CR39" t="s">
        <v>403</v>
      </c>
      <c r="CS39" t="s">
        <v>570</v>
      </c>
      <c r="CW39">
        <v>0</v>
      </c>
      <c r="CX39">
        <v>0</v>
      </c>
      <c r="CY39">
        <v>0</v>
      </c>
      <c r="CZ39" t="s">
        <v>404</v>
      </c>
      <c r="DA39" t="s">
        <v>471</v>
      </c>
      <c r="DD39" t="s">
        <v>57</v>
      </c>
      <c r="DG39" t="s">
        <v>441</v>
      </c>
      <c r="DH39" t="s">
        <v>441</v>
      </c>
      <c r="DI39" t="s">
        <v>441</v>
      </c>
      <c r="DJ39">
        <v>479434</v>
      </c>
      <c r="DK39">
        <v>46300</v>
      </c>
      <c r="DM39" t="s">
        <v>872</v>
      </c>
      <c r="DO39" t="s">
        <v>873</v>
      </c>
      <c r="DP39" t="s">
        <v>408</v>
      </c>
      <c r="DQ39" t="s">
        <v>409</v>
      </c>
      <c r="DV39">
        <v>31418</v>
      </c>
      <c r="DW39">
        <v>40</v>
      </c>
      <c r="DX39">
        <v>1</v>
      </c>
      <c r="DY39">
        <v>35</v>
      </c>
      <c r="DZ39">
        <v>1</v>
      </c>
      <c r="EA39" t="s">
        <v>389</v>
      </c>
      <c r="EB39" t="s">
        <v>389</v>
      </c>
      <c r="EC39">
        <v>30000</v>
      </c>
      <c r="EG39">
        <v>0</v>
      </c>
      <c r="EH39">
        <v>0</v>
      </c>
      <c r="EI39">
        <v>0</v>
      </c>
      <c r="EJ39">
        <v>0</v>
      </c>
      <c r="EK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400000</v>
      </c>
      <c r="ES39">
        <v>0</v>
      </c>
      <c r="EU39">
        <v>400000</v>
      </c>
      <c r="EW39" t="s">
        <v>393</v>
      </c>
      <c r="EX39" t="s">
        <v>487</v>
      </c>
      <c r="EY39">
        <v>12650</v>
      </c>
      <c r="EZ39">
        <v>12650</v>
      </c>
      <c r="FA39">
        <v>0</v>
      </c>
      <c r="FB39">
        <v>0</v>
      </c>
      <c r="FC39">
        <v>4000000</v>
      </c>
      <c r="FD39" t="s">
        <v>874</v>
      </c>
      <c r="FF39" t="s">
        <v>875</v>
      </c>
      <c r="FG39">
        <v>46296</v>
      </c>
      <c r="FH39">
        <v>46301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 result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Miftahul Hoque Nobel, Kazi Md.</cp:lastModifiedBy>
  <dcterms:created xsi:type="dcterms:W3CDTF">2026-10-07T05:18:00Z</dcterms:created>
  <dcterms:modified xsi:type="dcterms:W3CDTF">2026-10-07T12:45:45Z</dcterms:modified>
</cp:coreProperties>
</file>